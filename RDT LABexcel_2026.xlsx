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aravindmanikandan/Downloads/"/>
    </mc:Choice>
  </mc:AlternateContent>
  <xr:revisionPtr revIDLastSave="0" documentId="13_ncr:1_{F07D89E5-555B-4C41-9DC0-2F5706828051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0.8A" sheetId="1" r:id="rId1"/>
    <sheet name="1.0A" sheetId="2" r:id="rId2"/>
    <sheet name="1.5A" sheetId="3" r:id="rId3"/>
    <sheet name="Inverse Power Law" sheetId="4" r:id="rId4"/>
    <sheet name="seq test" sheetId="6" r:id="rId5"/>
    <sheet name="Sheet1" sheetId="7" r:id="rId6"/>
    <sheet name="Sheet2" sheetId="5" r:id="rId7"/>
  </sheets>
  <definedNames>
    <definedName name="_xlnm._FilterDatabase" localSheetId="3" hidden="1">'Inverse Power Law'!$H$23:$M$23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7" i="7"/>
  <c r="C13" i="7"/>
  <c r="D13" i="7"/>
  <c r="C14" i="7"/>
  <c r="D14" i="7"/>
  <c r="C15" i="7"/>
  <c r="D15" i="7"/>
  <c r="C16" i="7"/>
  <c r="D16" i="7"/>
  <c r="C17" i="7"/>
  <c r="E17" i="7" s="1"/>
  <c r="F17" i="7" s="1"/>
  <c r="D17" i="7"/>
  <c r="C18" i="7"/>
  <c r="D18" i="7"/>
  <c r="C19" i="7"/>
  <c r="D19" i="7"/>
  <c r="C20" i="7"/>
  <c r="D20" i="7"/>
  <c r="C21" i="7"/>
  <c r="D21" i="7"/>
  <c r="C22" i="7"/>
  <c r="E22" i="7" s="1"/>
  <c r="F22" i="7" s="1"/>
  <c r="D22" i="7"/>
  <c r="C23" i="7"/>
  <c r="D23" i="7"/>
  <c r="C24" i="7"/>
  <c r="E24" i="7" s="1"/>
  <c r="F24" i="7" s="1"/>
  <c r="D24" i="7"/>
  <c r="C25" i="7"/>
  <c r="E25" i="7" s="1"/>
  <c r="F25" i="7" s="1"/>
  <c r="D25" i="7"/>
  <c r="C26" i="7"/>
  <c r="D26" i="7"/>
  <c r="C27" i="7"/>
  <c r="D27" i="7"/>
  <c r="C28" i="7"/>
  <c r="D28" i="7"/>
  <c r="C29" i="7"/>
  <c r="D29" i="7"/>
  <c r="C30" i="7"/>
  <c r="D30" i="7"/>
  <c r="C31" i="7"/>
  <c r="E31" i="7" s="1"/>
  <c r="F31" i="7" s="1"/>
  <c r="D31" i="7"/>
  <c r="C32" i="7"/>
  <c r="D32" i="7"/>
  <c r="C33" i="7"/>
  <c r="D33" i="7"/>
  <c r="C34" i="7"/>
  <c r="D34" i="7"/>
  <c r="C35" i="7"/>
  <c r="D35" i="7"/>
  <c r="C36" i="7"/>
  <c r="E36" i="7" s="1"/>
  <c r="F36" i="7" s="1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J14" i="6"/>
  <c r="I31" i="4"/>
  <c r="I32" i="4" s="1"/>
  <c r="I20" i="4"/>
  <c r="E16" i="4"/>
  <c r="E17" i="4"/>
  <c r="E15" i="4"/>
  <c r="B8" i="4"/>
  <c r="C7" i="4"/>
  <c r="D7" i="4" s="1"/>
  <c r="C6" i="4"/>
  <c r="D6" i="4" s="1"/>
  <c r="C5" i="4"/>
  <c r="D5" i="4" s="1"/>
  <c r="E13" i="7" l="1"/>
  <c r="F13" i="7" s="1"/>
  <c r="E15" i="7"/>
  <c r="F15" i="7" s="1"/>
  <c r="E16" i="7"/>
  <c r="F16" i="7" s="1"/>
  <c r="E18" i="7"/>
  <c r="F18" i="7" s="1"/>
  <c r="E19" i="7"/>
  <c r="F19" i="7" s="1"/>
  <c r="E20" i="7"/>
  <c r="F20" i="7" s="1"/>
  <c r="E21" i="7"/>
  <c r="F21" i="7" s="1"/>
  <c r="E26" i="7"/>
  <c r="F26" i="7" s="1"/>
  <c r="E28" i="7"/>
  <c r="F28" i="7" s="1"/>
  <c r="E32" i="7"/>
  <c r="F32" i="7" s="1"/>
  <c r="E33" i="7"/>
  <c r="F33" i="7" s="1"/>
  <c r="E34" i="7"/>
  <c r="F34" i="7" s="1"/>
  <c r="E35" i="7"/>
  <c r="F35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23" i="7"/>
  <c r="F23" i="7" s="1"/>
  <c r="E27" i="7"/>
  <c r="F27" i="7" s="1"/>
  <c r="E29" i="7"/>
  <c r="F29" i="7" s="1"/>
  <c r="E30" i="7"/>
  <c r="F30" i="7" s="1"/>
  <c r="E14" i="7"/>
  <c r="F14" i="7" s="1"/>
  <c r="E2" i="7"/>
  <c r="E3" i="7" s="1"/>
  <c r="C8" i="7"/>
  <c r="J26" i="4"/>
  <c r="L26" i="4" s="1"/>
  <c r="J27" i="4"/>
  <c r="L27" i="4" s="1"/>
  <c r="J24" i="4"/>
  <c r="J25" i="4"/>
  <c r="L25" i="4" s="1"/>
  <c r="I4" i="4"/>
  <c r="K3" i="4"/>
  <c r="C17" i="4" s="1"/>
  <c r="D17" i="4" s="1"/>
  <c r="B15" i="4"/>
  <c r="K4" i="4"/>
  <c r="I11" i="4"/>
  <c r="K5" i="4"/>
  <c r="K6" i="4"/>
  <c r="K7" i="4"/>
  <c r="K8" i="4"/>
  <c r="K9" i="4"/>
  <c r="K10" i="4"/>
  <c r="K11" i="4"/>
  <c r="K12" i="4"/>
  <c r="K13" i="4"/>
  <c r="K14" i="4"/>
  <c r="I5" i="4"/>
  <c r="I6" i="4"/>
  <c r="I7" i="4"/>
  <c r="I8" i="4"/>
  <c r="I9" i="4"/>
  <c r="I10" i="4"/>
  <c r="I12" i="4"/>
  <c r="I13" i="4"/>
  <c r="I14" i="4"/>
  <c r="I3" i="4"/>
  <c r="C16" i="4" s="1"/>
  <c r="D16" i="4" s="1"/>
  <c r="G4" i="4"/>
  <c r="G5" i="4"/>
  <c r="G6" i="4"/>
  <c r="G7" i="4"/>
  <c r="G8" i="4"/>
  <c r="G9" i="4"/>
  <c r="G10" i="4"/>
  <c r="G11" i="4"/>
  <c r="G12" i="4"/>
  <c r="G3" i="4"/>
  <c r="C15" i="4"/>
  <c r="D15" i="4" s="1"/>
  <c r="E10" i="7"/>
  <c r="J13" i="6"/>
  <c r="D3" i="6"/>
  <c r="B16" i="4"/>
  <c r="B17" i="4" s="1"/>
  <c r="K24" i="4" l="1"/>
  <c r="M24" i="4" s="1"/>
  <c r="K27" i="4"/>
  <c r="M27" i="4" s="1"/>
  <c r="K26" i="4"/>
  <c r="M26" i="4" s="1"/>
  <c r="K25" i="4"/>
  <c r="M25" i="4" s="1"/>
  <c r="M11" i="6" s="1"/>
  <c r="Q11" i="6" s="1"/>
  <c r="L24" i="4"/>
  <c r="C2" i="6"/>
  <c r="C4" i="6"/>
  <c r="E4" i="6"/>
  <c r="D4" i="6"/>
  <c r="C3" i="6"/>
  <c r="E2" i="6"/>
  <c r="F2" i="6" s="1"/>
  <c r="E3" i="6"/>
  <c r="D2" i="6"/>
  <c r="C77" i="6" l="1"/>
  <c r="C81" i="6"/>
  <c r="C82" i="6"/>
  <c r="C85" i="6"/>
  <c r="C86" i="6"/>
  <c r="C87" i="6"/>
  <c r="C88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41" i="6"/>
  <c r="C43" i="6"/>
  <c r="C44" i="6"/>
  <c r="C45" i="6"/>
  <c r="C46" i="6"/>
  <c r="C47" i="6"/>
  <c r="C48" i="6"/>
  <c r="C50" i="6"/>
  <c r="C59" i="6"/>
  <c r="C60" i="6"/>
  <c r="C61" i="6"/>
  <c r="C62" i="6"/>
  <c r="C63" i="6"/>
  <c r="C64" i="6"/>
  <c r="C66" i="6"/>
  <c r="C68" i="6"/>
  <c r="C70" i="6"/>
  <c r="C72" i="6"/>
  <c r="C74" i="6"/>
  <c r="C76" i="6"/>
  <c r="C91" i="6"/>
  <c r="C92" i="6"/>
  <c r="C94" i="6"/>
  <c r="C9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2" i="6"/>
  <c r="C49" i="6"/>
  <c r="C51" i="6"/>
  <c r="C52" i="6"/>
  <c r="C53" i="6"/>
  <c r="C54" i="6"/>
  <c r="C55" i="6"/>
  <c r="C56" i="6"/>
  <c r="C57" i="6"/>
  <c r="C58" i="6"/>
  <c r="C65" i="6"/>
  <c r="C67" i="6"/>
  <c r="C69" i="6"/>
  <c r="C71" i="6"/>
  <c r="C73" i="6"/>
  <c r="C75" i="6"/>
  <c r="C78" i="6"/>
  <c r="C79" i="6"/>
  <c r="C80" i="6"/>
  <c r="C83" i="6"/>
  <c r="C84" i="6"/>
  <c r="C89" i="6"/>
  <c r="C90" i="6"/>
  <c r="C93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36" i="6"/>
  <c r="B37" i="6"/>
  <c r="B41" i="6"/>
  <c r="B42" i="6"/>
  <c r="B44" i="6"/>
  <c r="B45" i="6"/>
  <c r="B46" i="6"/>
  <c r="B47" i="6"/>
  <c r="B48" i="6"/>
  <c r="B50" i="6"/>
  <c r="B59" i="6"/>
  <c r="B60" i="6"/>
  <c r="B61" i="6"/>
  <c r="B62" i="6"/>
  <c r="B63" i="6"/>
  <c r="B64" i="6"/>
  <c r="B66" i="6"/>
  <c r="B67" i="6"/>
  <c r="B69" i="6"/>
  <c r="B70" i="6"/>
  <c r="B72" i="6"/>
  <c r="B73" i="6"/>
  <c r="B76" i="6"/>
  <c r="B77" i="6"/>
  <c r="B78" i="6"/>
  <c r="B91" i="6"/>
  <c r="B92" i="6"/>
  <c r="B93" i="6"/>
  <c r="B95" i="6"/>
  <c r="B96" i="6"/>
  <c r="B27" i="6"/>
  <c r="B28" i="6"/>
  <c r="B29" i="6"/>
  <c r="B30" i="6"/>
  <c r="B31" i="6"/>
  <c r="B32" i="6"/>
  <c r="B33" i="6"/>
  <c r="B34" i="6"/>
  <c r="B35" i="6"/>
  <c r="B38" i="6"/>
  <c r="B39" i="6"/>
  <c r="B40" i="6"/>
  <c r="B43" i="6"/>
  <c r="B49" i="6"/>
  <c r="B51" i="6"/>
  <c r="B52" i="6"/>
  <c r="B53" i="6"/>
  <c r="B54" i="6"/>
  <c r="B55" i="6"/>
  <c r="B56" i="6"/>
  <c r="B57" i="6"/>
  <c r="B58" i="6"/>
  <c r="B65" i="6"/>
  <c r="B68" i="6"/>
  <c r="B71" i="6"/>
  <c r="B74" i="6"/>
  <c r="B75" i="6"/>
  <c r="B79" i="6"/>
  <c r="B80" i="6"/>
  <c r="B81" i="6"/>
  <c r="B82" i="6"/>
  <c r="B83" i="6"/>
  <c r="B84" i="6"/>
  <c r="B90" i="6"/>
  <c r="B94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2" i="6"/>
  <c r="B85" i="6"/>
  <c r="B86" i="6"/>
  <c r="B87" i="6"/>
  <c r="B88" i="6"/>
  <c r="B89" i="6"/>
  <c r="F4" i="6"/>
  <c r="F3" i="6"/>
  <c r="R11" i="6" s="1"/>
  <c r="S11" i="6" s="1"/>
  <c r="H18" i="3" l="1"/>
  <c r="H19" i="3" s="1"/>
  <c r="D13" i="3"/>
  <c r="C13" i="3"/>
  <c r="E13" i="3" s="1"/>
  <c r="D12" i="3"/>
  <c r="C12" i="3"/>
  <c r="E12" i="3" s="1"/>
  <c r="D11" i="3"/>
  <c r="C11" i="3"/>
  <c r="E11" i="3" s="1"/>
  <c r="D10" i="3"/>
  <c r="C10" i="3"/>
  <c r="E10" i="3" s="1"/>
  <c r="D9" i="3"/>
  <c r="C9" i="3"/>
  <c r="E9" i="3" s="1"/>
  <c r="D8" i="3"/>
  <c r="C8" i="3"/>
  <c r="E8" i="3" s="1"/>
  <c r="D7" i="3"/>
  <c r="C7" i="3"/>
  <c r="E7" i="3" s="1"/>
  <c r="D6" i="3"/>
  <c r="C6" i="3"/>
  <c r="E6" i="3" s="1"/>
  <c r="D5" i="3"/>
  <c r="C5" i="3"/>
  <c r="E5" i="3" s="1"/>
  <c r="D4" i="3"/>
  <c r="C4" i="3"/>
  <c r="E4" i="3" s="1"/>
  <c r="D3" i="3"/>
  <c r="C3" i="3"/>
  <c r="E3" i="3" s="1"/>
  <c r="D2" i="3"/>
  <c r="C2" i="3"/>
  <c r="E2" i="3" s="1"/>
  <c r="H18" i="2"/>
  <c r="H19" i="2" s="1"/>
  <c r="E3" i="2"/>
  <c r="E4" i="2"/>
  <c r="E5" i="2"/>
  <c r="C12" i="2"/>
  <c r="E12" i="2" s="1"/>
  <c r="C13" i="2"/>
  <c r="E13" i="2" s="1"/>
  <c r="C3" i="2"/>
  <c r="C4" i="2"/>
  <c r="C5" i="2"/>
  <c r="C6" i="2"/>
  <c r="E6" i="2" s="1"/>
  <c r="C7" i="2"/>
  <c r="E7" i="2" s="1"/>
  <c r="C8" i="2"/>
  <c r="E8" i="2" s="1"/>
  <c r="C9" i="2"/>
  <c r="E9" i="2" s="1"/>
  <c r="C10" i="2"/>
  <c r="E10" i="2" s="1"/>
  <c r="C11" i="2"/>
  <c r="E11" i="2" s="1"/>
  <c r="C2" i="2"/>
  <c r="E2" i="2" s="1"/>
  <c r="D13" i="2"/>
  <c r="D12" i="2"/>
  <c r="D11" i="2"/>
  <c r="D10" i="2"/>
  <c r="D9" i="2"/>
  <c r="D8" i="2"/>
  <c r="D7" i="2"/>
  <c r="D6" i="2"/>
  <c r="D5" i="2"/>
  <c r="D4" i="2"/>
  <c r="D3" i="2"/>
  <c r="D2" i="2"/>
  <c r="H18" i="1"/>
  <c r="H19" i="1" s="1"/>
  <c r="D3" i="1"/>
  <c r="D4" i="1"/>
  <c r="D5" i="1"/>
  <c r="D6" i="1"/>
  <c r="D7" i="1"/>
  <c r="D8" i="1"/>
  <c r="D9" i="1"/>
  <c r="D10" i="1"/>
  <c r="D11" i="1"/>
  <c r="D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2" i="1"/>
  <c r="E2" i="1" s="1"/>
</calcChain>
</file>

<file path=xl/sharedStrings.xml><?xml version="1.0" encoding="utf-8"?>
<sst xmlns="http://schemas.openxmlformats.org/spreadsheetml/2006/main" count="104" uniqueCount="77">
  <si>
    <t>Failure no</t>
  </si>
  <si>
    <t>Cycles (TTF)</t>
  </si>
  <si>
    <t>F(tI)</t>
  </si>
  <si>
    <t>Y</t>
  </si>
  <si>
    <t>X</t>
  </si>
  <si>
    <t>beta</t>
  </si>
  <si>
    <t>ln(theta)</t>
  </si>
  <si>
    <t>theta</t>
  </si>
  <si>
    <t>L = A / S^B</t>
  </si>
  <si>
    <t>STRESS</t>
  </si>
  <si>
    <t>BETA</t>
  </si>
  <si>
    <t>THETA</t>
  </si>
  <si>
    <t>LN(THETA)</t>
  </si>
  <si>
    <t>Beta Avg</t>
  </si>
  <si>
    <t>0.8A</t>
  </si>
  <si>
    <t>1.0A</t>
  </si>
  <si>
    <t>1.5A</t>
  </si>
  <si>
    <t>ti^beta</t>
  </si>
  <si>
    <t>BETA AVG</t>
  </si>
  <si>
    <t>LN THETA</t>
  </si>
  <si>
    <t>LN S</t>
  </si>
  <si>
    <t>ln L = ln A -BlnS</t>
  </si>
  <si>
    <t>From plot</t>
  </si>
  <si>
    <t>ln A =</t>
  </si>
  <si>
    <t>B</t>
  </si>
  <si>
    <t>A=</t>
  </si>
  <si>
    <t>Conditions</t>
  </si>
  <si>
    <t>Stress</t>
  </si>
  <si>
    <t>Life (theta)</t>
  </si>
  <si>
    <t>AF</t>
  </si>
  <si>
    <t>MTTF</t>
  </si>
  <si>
    <t>Nominal</t>
  </si>
  <si>
    <t>case 1</t>
  </si>
  <si>
    <t>case 2</t>
  </si>
  <si>
    <t>case 3</t>
  </si>
  <si>
    <t>Electrical life (cycles)</t>
  </si>
  <si>
    <t>Nominal stress (A)</t>
  </si>
  <si>
    <t>eta</t>
  </si>
  <si>
    <t>Reliability (Ru)</t>
  </si>
  <si>
    <t>alpha</t>
  </si>
  <si>
    <t>h0</t>
  </si>
  <si>
    <t>h1</t>
  </si>
  <si>
    <t>S</t>
  </si>
  <si>
    <t>MIN SAMPLE</t>
  </si>
  <si>
    <t>Rl</t>
  </si>
  <si>
    <t>cycle</t>
  </si>
  <si>
    <t>switch/min</t>
  </si>
  <si>
    <t>mins/6 switch</t>
  </si>
  <si>
    <t>mins</t>
  </si>
  <si>
    <t>x</t>
  </si>
  <si>
    <t>reject line</t>
  </si>
  <si>
    <t>accept line</t>
  </si>
  <si>
    <t>Ru</t>
  </si>
  <si>
    <t>cycle time</t>
  </si>
  <si>
    <t>ql</t>
  </si>
  <si>
    <t>qu</t>
  </si>
  <si>
    <t>0.8 Amps</t>
  </si>
  <si>
    <t>abs valve</t>
  </si>
  <si>
    <t>ERROR</t>
  </si>
  <si>
    <t>C RISK</t>
  </si>
  <si>
    <t>P RISK</t>
  </si>
  <si>
    <t>K</t>
  </si>
  <si>
    <t>TRIALS</t>
  </si>
  <si>
    <t>minimum</t>
  </si>
  <si>
    <t>R</t>
  </si>
  <si>
    <t>T(ac)</t>
  </si>
  <si>
    <t>T(op)</t>
  </si>
  <si>
    <t>RU</t>
  </si>
  <si>
    <t>B=Ea/K</t>
  </si>
  <si>
    <t>RL</t>
  </si>
  <si>
    <t>A</t>
  </si>
  <si>
    <t>t(test)</t>
  </si>
  <si>
    <t>t(op)</t>
  </si>
  <si>
    <t>t (test)</t>
  </si>
  <si>
    <t>testing hrs</t>
  </si>
  <si>
    <t>Inverse Power Law</t>
  </si>
  <si>
    <t>q22222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</si>
</sst>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2" xfId="0" applyBorder="1"/>
    <xf numFmtId="0" fontId="2" fillId="0" borderId="4" xfId="0" applyFont="1" applyBorder="1"/>
    <xf numFmtId="0" fontId="0" fillId="4" borderId="5" xfId="0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0" borderId="0" xfId="0" applyFont="1"/>
    <xf numFmtId="0" fontId="0" fillId="4" borderId="7" xfId="0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6" borderId="0" xfId="0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8" xfId="0" applyBorder="1"/>
    <xf numFmtId="2" fontId="0" fillId="0" borderId="8" xfId="0" applyNumberFormat="1" applyBorder="1"/>
    <xf numFmtId="2" fontId="0" fillId="0" borderId="10" xfId="0" applyNumberFormat="1" applyBorder="1"/>
    <xf numFmtId="0" fontId="0" fillId="7" borderId="13" xfId="0" applyFill="1" applyBorder="1"/>
    <xf numFmtId="0" fontId="0" fillId="8" borderId="13" xfId="0" applyFill="1" applyBorder="1"/>
    <xf numFmtId="0" fontId="0" fillId="8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0" borderId="17" xfId="0" applyBorder="1"/>
    <xf numFmtId="1" fontId="0" fillId="0" borderId="18" xfId="0" applyNumberFormat="1" applyBorder="1"/>
    <xf numFmtId="0" fontId="0" fillId="2" borderId="14" xfId="0" applyFill="1" applyBorder="1"/>
    <xf numFmtId="0" fontId="0" fillId="2" borderId="19" xfId="0" applyFill="1" applyBorder="1"/>
    <xf numFmtId="1" fontId="0" fillId="2" borderId="20" xfId="0" applyNumberForma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'0.8A'!$E$1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97331583552056"/>
                  <c:y val="-0.21140128317293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'0.8A'!$D$2:$D$11</c:f>
              <c:numCache>
                <c:formatCode>General</c:formatCode>
                <c:ptCount val="10"/>
                <c:pt idx="0">
                  <c:v>9.0600987086456399</c:v>
                </c:pt>
                <c:pt idx="1">
                  <c:v>9.1075321519945014</c:v>
                </c:pt>
                <c:pt idx="2">
                  <c:v>9.1984701994056959</c:v>
                </c:pt>
                <c:pt idx="3">
                  <c:v>9.2631225574151514</c:v>
                </c:pt>
                <c:pt idx="4">
                  <c:v>9.4064004548806501</c:v>
                </c:pt>
                <c:pt idx="5">
                  <c:v>9.4610990903233656</c:v>
                </c:pt>
                <c:pt idx="6">
                  <c:v>9.9110091939349747</c:v>
                </c:pt>
                <c:pt idx="7">
                  <c:v>9.9710994709461485</c:v>
                </c:pt>
                <c:pt idx="8">
                  <c:v>9.9993430381796493</c:v>
                </c:pt>
                <c:pt idx="9">
                  <c:v>10.009018053745592</c:v>
                </c:pt>
              </c:numCache>
            </c:numRef>
          </c:xVal>
          <c:yVal>
            <c:numRef>
              <c:f>'0.8A'!$E$2:$E$11</c:f>
              <c:numCache>
                <c:formatCode>General</c:formatCode>
                <c:ptCount val="10"/>
                <c:pt idx="0">
                  <c:v>-2.6638430853881676</c:v>
                </c:pt>
                <c:pt idx="1">
                  <c:v>-1.7232631502768931</c:v>
                </c:pt>
                <c:pt idx="2">
                  <c:v>-1.2020231152465504</c:v>
                </c:pt>
                <c:pt idx="3">
                  <c:v>-0.82166651512868716</c:v>
                </c:pt>
                <c:pt idx="4">
                  <c:v>-0.50859539373414853</c:v>
                </c:pt>
                <c:pt idx="5">
                  <c:v>-0.23036544473331988</c:v>
                </c:pt>
                <c:pt idx="6">
                  <c:v>3.2924961914339322E-2</c:v>
                </c:pt>
                <c:pt idx="7">
                  <c:v>0.29903293186204805</c:v>
                </c:pt>
                <c:pt idx="8">
                  <c:v>0.59397721666038561</c:v>
                </c:pt>
                <c:pt idx="9">
                  <c:v>0.99268892949027088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1-4389-B8E3-ABF5E441C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34111"/>
        <c:axId val="393225471"/>
      </c:scatterChart>
      <c:valAx>
        <c:axId val="3932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= ln(ti)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25471"/>
        <c:crosses val="autoZero"/>
        <c:crossBetween val="midCat"/>
      </c:valAx>
      <c:valAx>
        <c:axId val="39322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 =</a:t>
                </a:r>
                <a:r>
                  <a:rPr lang="en-IN" baseline="0"/>
                  <a:t> ln(-ln(1-F(ti))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'1.0A'!$E$1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97331583552056"/>
                  <c:y val="-0.21140128317293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'1.0A'!$D$2:$D$13</c:f>
              <c:numCache>
                <c:formatCode>General</c:formatCode>
                <c:ptCount val="12"/>
                <c:pt idx="0">
                  <c:v>8.188133414510478</c:v>
                </c:pt>
                <c:pt idx="1">
                  <c:v>8.3248212987687822</c:v>
                </c:pt>
                <c:pt idx="2">
                  <c:v>8.453401058328458</c:v>
                </c:pt>
                <c:pt idx="3">
                  <c:v>8.5716813767003064</c:v>
                </c:pt>
                <c:pt idx="4">
                  <c:v>8.6789718469788628</c:v>
                </c:pt>
                <c:pt idx="5">
                  <c:v>8.7163718652766153</c:v>
                </c:pt>
                <c:pt idx="6">
                  <c:v>8.7809411135723874</c:v>
                </c:pt>
                <c:pt idx="7">
                  <c:v>9.0478214424784085</c:v>
                </c:pt>
                <c:pt idx="8">
                  <c:v>9.1192114385650811</c:v>
                </c:pt>
                <c:pt idx="9">
                  <c:v>9.3639194599044835</c:v>
                </c:pt>
                <c:pt idx="10">
                  <c:v>9.3716936223339413</c:v>
                </c:pt>
                <c:pt idx="11">
                  <c:v>9.3838734227370573</c:v>
                </c:pt>
              </c:numCache>
            </c:numRef>
          </c:xVal>
          <c:yVal>
            <c:numRef>
              <c:f>'1.0A'!$E$2:$E$13</c:f>
              <c:numCache>
                <c:formatCode>General</c:formatCode>
                <c:ptCount val="12"/>
                <c:pt idx="0">
                  <c:v>-2.8454582845526275</c:v>
                </c:pt>
                <c:pt idx="1">
                  <c:v>-1.9142476213889619</c:v>
                </c:pt>
                <c:pt idx="2">
                  <c:v>-1.4041708492389602</c:v>
                </c:pt>
                <c:pt idx="3">
                  <c:v>-1.0374039870128544</c:v>
                </c:pt>
                <c:pt idx="4">
                  <c:v>-0.74133762272073522</c:v>
                </c:pt>
                <c:pt idx="5">
                  <c:v>-0.48517583329611957</c:v>
                </c:pt>
                <c:pt idx="6">
                  <c:v>-0.25201857900336377</c:v>
                </c:pt>
                <c:pt idx="7">
                  <c:v>-3.0321109912392188E-2</c:v>
                </c:pt>
                <c:pt idx="8">
                  <c:v>0.19009431462729001</c:v>
                </c:pt>
                <c:pt idx="9">
                  <c:v>0.4216302123380633</c:v>
                </c:pt>
                <c:pt idx="10">
                  <c:v>0.68666029692533626</c:v>
                </c:pt>
                <c:pt idx="11">
                  <c:v>1.055834012622767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8-4F76-ADC5-4E0E8D154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34111"/>
        <c:axId val="393225471"/>
      </c:scatterChart>
      <c:valAx>
        <c:axId val="3932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= ln(ti)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25471"/>
        <c:crosses val="autoZero"/>
        <c:crossBetween val="midCat"/>
      </c:valAx>
      <c:valAx>
        <c:axId val="39322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 =</a:t>
                </a:r>
                <a:r>
                  <a:rPr lang="en-IN" baseline="0"/>
                  <a:t> ln(-ln(1-F(ti))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Weibull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'1.5A'!$E$1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97331583552056"/>
                  <c:y val="-0.21140128317293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'1.5A'!$D$2:$D$13</c:f>
              <c:numCache>
                <c:formatCode>General</c:formatCode>
                <c:ptCount val="12"/>
                <c:pt idx="0">
                  <c:v>7.8324109271879196</c:v>
                </c:pt>
                <c:pt idx="1">
                  <c:v>8.2147358333823028</c:v>
                </c:pt>
                <c:pt idx="2">
                  <c:v>8.2895394846241413</c:v>
                </c:pt>
                <c:pt idx="3">
                  <c:v>8.4098306730877379</c:v>
                </c:pt>
                <c:pt idx="4">
                  <c:v>8.4296725938867425</c:v>
                </c:pt>
                <c:pt idx="5">
                  <c:v>8.4933102509529057</c:v>
                </c:pt>
                <c:pt idx="6">
                  <c:v>8.6379938915619423</c:v>
                </c:pt>
                <c:pt idx="7">
                  <c:v>8.6934966758846297</c:v>
                </c:pt>
                <c:pt idx="8">
                  <c:v>8.7168633865448051</c:v>
                </c:pt>
                <c:pt idx="9">
                  <c:v>8.7290735504517372</c:v>
                </c:pt>
                <c:pt idx="10">
                  <c:v>8.740336742730447</c:v>
                </c:pt>
                <c:pt idx="11">
                  <c:v>8.7949764316887702</c:v>
                </c:pt>
              </c:numCache>
            </c:numRef>
          </c:xVal>
          <c:yVal>
            <c:numRef>
              <c:f>'1.5A'!$E$2:$E$13</c:f>
              <c:numCache>
                <c:formatCode>General</c:formatCode>
                <c:ptCount val="12"/>
                <c:pt idx="0">
                  <c:v>-2.8454582845526275</c:v>
                </c:pt>
                <c:pt idx="1">
                  <c:v>-1.9142476213889619</c:v>
                </c:pt>
                <c:pt idx="2">
                  <c:v>-1.4041708492389602</c:v>
                </c:pt>
                <c:pt idx="3">
                  <c:v>-1.0374039870128544</c:v>
                </c:pt>
                <c:pt idx="4">
                  <c:v>-0.74133762272073522</c:v>
                </c:pt>
                <c:pt idx="5">
                  <c:v>-0.48517583329611957</c:v>
                </c:pt>
                <c:pt idx="6">
                  <c:v>-0.25201857900336377</c:v>
                </c:pt>
                <c:pt idx="7">
                  <c:v>-3.0321109912392188E-2</c:v>
                </c:pt>
                <c:pt idx="8">
                  <c:v>0.19009431462729001</c:v>
                </c:pt>
                <c:pt idx="9">
                  <c:v>0.4216302123380633</c:v>
                </c:pt>
                <c:pt idx="10">
                  <c:v>0.68666029692533626</c:v>
                </c:pt>
                <c:pt idx="11">
                  <c:v>1.055834012622767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1-4BF4-9EB0-3832D4F4E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34111"/>
        <c:axId val="393225471"/>
      </c:scatterChart>
      <c:valAx>
        <c:axId val="39323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= ln(ti)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25471"/>
        <c:crosses val="autoZero"/>
        <c:crossBetween val="midCat"/>
      </c:valAx>
      <c:valAx>
        <c:axId val="39322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 =</a:t>
                </a:r>
                <a:r>
                  <a:rPr lang="en-IN" baseline="0"/>
                  <a:t> ln(-ln(1-F(ti))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Ln(theta)</a:t>
            </a:r>
            <a:r>
              <a:rPr lang="en-US" baseline="0"/>
              <a:t> vs Ln(s)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'Inverse Power Law'!$D$14</c:f>
              <c:strCache>
                <c:ptCount val="1"/>
                <c:pt idx="0">
                  <c:v>LN THETA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933945756780409E-2"/>
                  <c:y val="-0.651049504228638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'Inverse Power Law'!$E$15:$E$17</c:f>
              <c:numCache>
                <c:formatCode>General</c:formatCode>
                <c:ptCount val="3"/>
                <c:pt idx="0">
                  <c:v>-0.22314355131420971</c:v>
                </c:pt>
                <c:pt idx="1">
                  <c:v>0</c:v>
                </c:pt>
                <c:pt idx="2">
                  <c:v>0.40546510810816438</c:v>
                </c:pt>
              </c:numCache>
            </c:numRef>
          </c:xVal>
          <c:yVal>
            <c:numRef>
              <c:f>'Inverse Power Law'!$D$15:$D$17</c:f>
              <c:numCache>
                <c:formatCode>General</c:formatCode>
                <c:ptCount val="3"/>
                <c:pt idx="0">
                  <c:v>9.7283757467024561</c:v>
                </c:pt>
                <c:pt idx="1">
                  <c:v>9.0484571423965434</c:v>
                </c:pt>
                <c:pt idx="2">
                  <c:v>8.5823438593285104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E-4FEC-A621-E5B684C81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550864"/>
        <c:axId val="638547504"/>
      </c:scatterChart>
      <c:valAx>
        <c:axId val="63855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Ln</a:t>
                </a:r>
                <a:r>
                  <a:rPr lang="en-IN" baseline="0"/>
                  <a:t> (S)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47504"/>
        <c:crosses val="autoZero"/>
        <c:crossBetween val="midCat"/>
      </c:valAx>
      <c:valAx>
        <c:axId val="6385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Ln (theta)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5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 testing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2.5428331875182269E-2"/>
          <c:w val="0.8911816925375351"/>
          <c:h val="0.88762851480440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'seq test'!$B$11</c:f>
              <c:strCache>
                <c:ptCount val="1"/>
                <c:pt idx="0">
                  <c:v>reject 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'seq test'!$A$12:$A$131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xVal>
          <c:yVal>
            <c:numRef>
              <c:f>'seq test'!$B$12:$B$131</c:f>
              <c:numCache>
                <c:formatCode>General</c:formatCode>
                <c:ptCount val="120"/>
                <c:pt idx="0">
                  <c:v>0.86481726708123008</c:v>
                </c:pt>
                <c:pt idx="1">
                  <c:v>0.88980268931482009</c:v>
                </c:pt>
                <c:pt idx="2">
                  <c:v>0.91478811154841</c:v>
                </c:pt>
                <c:pt idx="3">
                  <c:v>0.9397735337819999</c:v>
                </c:pt>
                <c:pt idx="4">
                  <c:v>0.96475895601558992</c:v>
                </c:pt>
                <c:pt idx="5">
                  <c:v>0.98974437824917982</c:v>
                </c:pt>
                <c:pt idx="6">
                  <c:v>1.0147298004827698</c:v>
                </c:pt>
                <c:pt idx="7">
                  <c:v>1.0397152227163597</c:v>
                </c:pt>
                <c:pt idx="8">
                  <c:v>1.0647006449499496</c:v>
                </c:pt>
                <c:pt idx="9">
                  <c:v>1.0896860671835396</c:v>
                </c:pt>
                <c:pt idx="10">
                  <c:v>1.1146714894171295</c:v>
                </c:pt>
                <c:pt idx="11">
                  <c:v>1.1396569116507196</c:v>
                </c:pt>
                <c:pt idx="12">
                  <c:v>1.1646423338843095</c:v>
                </c:pt>
                <c:pt idx="13">
                  <c:v>1.1896277561178994</c:v>
                </c:pt>
                <c:pt idx="14">
                  <c:v>1.2146131783514893</c:v>
                </c:pt>
                <c:pt idx="15">
                  <c:v>1.2395986005850794</c:v>
                </c:pt>
                <c:pt idx="16">
                  <c:v>1.2645840228186693</c:v>
                </c:pt>
                <c:pt idx="17">
                  <c:v>1.2895694450522592</c:v>
                </c:pt>
                <c:pt idx="18">
                  <c:v>1.3145548672858491</c:v>
                </c:pt>
                <c:pt idx="19">
                  <c:v>1.339540289519439</c:v>
                </c:pt>
                <c:pt idx="20">
                  <c:v>1.3645257117530289</c:v>
                </c:pt>
                <c:pt idx="21">
                  <c:v>1.3895111339866189</c:v>
                </c:pt>
                <c:pt idx="22">
                  <c:v>1.414496556220209</c:v>
                </c:pt>
                <c:pt idx="23">
                  <c:v>1.4394819784537989</c:v>
                </c:pt>
                <c:pt idx="24">
                  <c:v>1.4644674006873888</c:v>
                </c:pt>
                <c:pt idx="25">
                  <c:v>1.4894528229209789</c:v>
                </c:pt>
                <c:pt idx="26">
                  <c:v>1.5144382451545688</c:v>
                </c:pt>
                <c:pt idx="27">
                  <c:v>1.5394236673881587</c:v>
                </c:pt>
                <c:pt idx="28">
                  <c:v>1.5644090896217486</c:v>
                </c:pt>
                <c:pt idx="29">
                  <c:v>1.5893945118553385</c:v>
                </c:pt>
                <c:pt idx="30">
                  <c:v>1.6143799340889284</c:v>
                </c:pt>
                <c:pt idx="31">
                  <c:v>1.6393653563225183</c:v>
                </c:pt>
                <c:pt idx="32">
                  <c:v>1.6643507785561082</c:v>
                </c:pt>
                <c:pt idx="33">
                  <c:v>1.6893362007896984</c:v>
                </c:pt>
                <c:pt idx="34">
                  <c:v>1.7143216230232883</c:v>
                </c:pt>
                <c:pt idx="35">
                  <c:v>1.7393070452568784</c:v>
                </c:pt>
                <c:pt idx="36">
                  <c:v>1.7642924674904683</c:v>
                </c:pt>
                <c:pt idx="37">
                  <c:v>1.7892778897240582</c:v>
                </c:pt>
                <c:pt idx="38">
                  <c:v>1.8142633119576481</c:v>
                </c:pt>
                <c:pt idx="39">
                  <c:v>1.839248734191238</c:v>
                </c:pt>
                <c:pt idx="40">
                  <c:v>1.8642341564248279</c:v>
                </c:pt>
                <c:pt idx="41">
                  <c:v>1.8892195786584178</c:v>
                </c:pt>
                <c:pt idx="42">
                  <c:v>1.9142050008920077</c:v>
                </c:pt>
                <c:pt idx="43">
                  <c:v>1.9391904231255976</c:v>
                </c:pt>
                <c:pt idx="44">
                  <c:v>1.9641758453591875</c:v>
                </c:pt>
                <c:pt idx="45">
                  <c:v>1.9891612675927779</c:v>
                </c:pt>
                <c:pt idx="46">
                  <c:v>2.0141466898263678</c:v>
                </c:pt>
                <c:pt idx="47">
                  <c:v>2.0391321120599577</c:v>
                </c:pt>
                <c:pt idx="48">
                  <c:v>2.0641175342935476</c:v>
                </c:pt>
                <c:pt idx="49">
                  <c:v>2.0891029565271375</c:v>
                </c:pt>
                <c:pt idx="50">
                  <c:v>2.1140883787607274</c:v>
                </c:pt>
                <c:pt idx="51">
                  <c:v>2.1390738009943173</c:v>
                </c:pt>
                <c:pt idx="52">
                  <c:v>2.1640592232279072</c:v>
                </c:pt>
                <c:pt idx="53">
                  <c:v>2.1890446454614971</c:v>
                </c:pt>
                <c:pt idx="54">
                  <c:v>2.214030067695087</c:v>
                </c:pt>
                <c:pt idx="55">
                  <c:v>2.2390154899286769</c:v>
                </c:pt>
                <c:pt idx="56">
                  <c:v>2.2640009121622673</c:v>
                </c:pt>
                <c:pt idx="57">
                  <c:v>2.2889863343958572</c:v>
                </c:pt>
                <c:pt idx="58">
                  <c:v>2.3139717566294471</c:v>
                </c:pt>
                <c:pt idx="59">
                  <c:v>2.338957178863037</c:v>
                </c:pt>
                <c:pt idx="60">
                  <c:v>2.3639426010966269</c:v>
                </c:pt>
                <c:pt idx="61">
                  <c:v>2.3889280233302168</c:v>
                </c:pt>
                <c:pt idx="62">
                  <c:v>2.4139134455638067</c:v>
                </c:pt>
                <c:pt idx="63">
                  <c:v>2.4388988677973966</c:v>
                </c:pt>
                <c:pt idx="64">
                  <c:v>2.4638842900309865</c:v>
                </c:pt>
                <c:pt idx="65">
                  <c:v>2.4888697122645764</c:v>
                </c:pt>
                <c:pt idx="66">
                  <c:v>2.5138551344981668</c:v>
                </c:pt>
                <c:pt idx="67">
                  <c:v>2.5388405567317567</c:v>
                </c:pt>
                <c:pt idx="68">
                  <c:v>2.5638259789653466</c:v>
                </c:pt>
                <c:pt idx="69">
                  <c:v>2.5888114011989365</c:v>
                </c:pt>
                <c:pt idx="70">
                  <c:v>2.6137968234325264</c:v>
                </c:pt>
                <c:pt idx="71">
                  <c:v>2.6387822456661163</c:v>
                </c:pt>
                <c:pt idx="72">
                  <c:v>2.6637676678997062</c:v>
                </c:pt>
                <c:pt idx="73">
                  <c:v>2.6887530901332961</c:v>
                </c:pt>
                <c:pt idx="74">
                  <c:v>2.713738512366886</c:v>
                </c:pt>
                <c:pt idx="75">
                  <c:v>2.7387239346004759</c:v>
                </c:pt>
                <c:pt idx="76">
                  <c:v>2.7637093568340658</c:v>
                </c:pt>
                <c:pt idx="77">
                  <c:v>2.7886947790676562</c:v>
                </c:pt>
                <c:pt idx="78">
                  <c:v>2.8136802013012461</c:v>
                </c:pt>
                <c:pt idx="79">
                  <c:v>2.838665623534836</c:v>
                </c:pt>
                <c:pt idx="80">
                  <c:v>2.8636510457684259</c:v>
                </c:pt>
                <c:pt idx="81">
                  <c:v>2.8886364680020158</c:v>
                </c:pt>
                <c:pt idx="82">
                  <c:v>2.9136218902356057</c:v>
                </c:pt>
                <c:pt idx="83">
                  <c:v>2.9386073124691956</c:v>
                </c:pt>
                <c:pt idx="84">
                  <c:v>2.9635927347027855</c:v>
                </c:pt>
                <c:pt idx="85">
                  <c:v>2.9885781569363754</c:v>
                </c:pt>
                <c:pt idx="86">
                  <c:v>3.0135635791699653</c:v>
                </c:pt>
                <c:pt idx="87">
                  <c:v>3.0385490014035552</c:v>
                </c:pt>
                <c:pt idx="88">
                  <c:v>3.0635344236371451</c:v>
                </c:pt>
                <c:pt idx="89">
                  <c:v>3.088519845870735</c:v>
                </c:pt>
                <c:pt idx="90">
                  <c:v>3.1135052681043254</c:v>
                </c:pt>
                <c:pt idx="91">
                  <c:v>3.1384906903379153</c:v>
                </c:pt>
                <c:pt idx="92">
                  <c:v>3.1634761125715052</c:v>
                </c:pt>
                <c:pt idx="93">
                  <c:v>3.1884615348050951</c:v>
                </c:pt>
                <c:pt idx="94">
                  <c:v>3.213446957038685</c:v>
                </c:pt>
                <c:pt idx="95">
                  <c:v>3.2384323792722749</c:v>
                </c:pt>
                <c:pt idx="96">
                  <c:v>3.2634178015058648</c:v>
                </c:pt>
                <c:pt idx="97">
                  <c:v>3.2884032237394547</c:v>
                </c:pt>
                <c:pt idx="98">
                  <c:v>3.3133886459730446</c:v>
                </c:pt>
                <c:pt idx="99">
                  <c:v>3.3383740682066345</c:v>
                </c:pt>
                <c:pt idx="100">
                  <c:v>3.3633594904402244</c:v>
                </c:pt>
                <c:pt idx="101">
                  <c:v>3.3883449126738148</c:v>
                </c:pt>
                <c:pt idx="102">
                  <c:v>3.4133303349074047</c:v>
                </c:pt>
                <c:pt idx="103">
                  <c:v>3.4383157571409946</c:v>
                </c:pt>
                <c:pt idx="104">
                  <c:v>3.4633011793745845</c:v>
                </c:pt>
                <c:pt idx="105">
                  <c:v>3.4882866016081744</c:v>
                </c:pt>
                <c:pt idx="106">
                  <c:v>3.5132720238417643</c:v>
                </c:pt>
                <c:pt idx="107">
                  <c:v>3.5382574460753542</c:v>
                </c:pt>
                <c:pt idx="108">
                  <c:v>3.5632428683089441</c:v>
                </c:pt>
                <c:pt idx="109">
                  <c:v>3.588228290542534</c:v>
                </c:pt>
                <c:pt idx="110">
                  <c:v>3.6132137127761239</c:v>
                </c:pt>
                <c:pt idx="111">
                  <c:v>3.6381991350097138</c:v>
                </c:pt>
                <c:pt idx="112">
                  <c:v>3.6631845572433042</c:v>
                </c:pt>
                <c:pt idx="113">
                  <c:v>3.6881699794768941</c:v>
                </c:pt>
                <c:pt idx="114">
                  <c:v>3.713155401710484</c:v>
                </c:pt>
                <c:pt idx="115">
                  <c:v>3.7381408239440739</c:v>
                </c:pt>
                <c:pt idx="116">
                  <c:v>3.7631262461776638</c:v>
                </c:pt>
                <c:pt idx="117">
                  <c:v>3.7881116684112537</c:v>
                </c:pt>
                <c:pt idx="118">
                  <c:v>3.8130970906448436</c:v>
                </c:pt>
                <c:pt idx="119">
                  <c:v>3.8380825128784335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31-4166-83EC-420C9FA6B858}"/>
            </c:ext>
          </c:extLst>
        </c:ser>
        <c:ser>
          <c:idx val="1"/>
          <c:order val="1"/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strRef>
              <c:f>'seq test'!$A$11:$A$131</c:f>
              <c:strCache>
                <c:ptCount val="121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xVal>
          <c:yVal>
            <c:numRef>
              <c:f>'seq test'!$C$12:$C$131</c:f>
              <c:numCache>
                <c:formatCode>General</c:formatCode>
                <c:ptCount val="120"/>
                <c:pt idx="0">
                  <c:v>-0.81484642261405027</c:v>
                </c:pt>
                <c:pt idx="1">
                  <c:v>-0.78986100038046025</c:v>
                </c:pt>
                <c:pt idx="2">
                  <c:v>-0.76487557814687035</c:v>
                </c:pt>
                <c:pt idx="3">
                  <c:v>-0.73989015591328045</c:v>
                </c:pt>
                <c:pt idx="4">
                  <c:v>-0.71490473367969043</c:v>
                </c:pt>
                <c:pt idx="5">
                  <c:v>-0.68991931144610052</c:v>
                </c:pt>
                <c:pt idx="6">
                  <c:v>-0.66493388921251051</c:v>
                </c:pt>
                <c:pt idx="7">
                  <c:v>-0.6399484669789206</c:v>
                </c:pt>
                <c:pt idx="8">
                  <c:v>-0.6149630447453307</c:v>
                </c:pt>
                <c:pt idx="9">
                  <c:v>-0.58997762251174068</c:v>
                </c:pt>
                <c:pt idx="10">
                  <c:v>-0.56499220027815078</c:v>
                </c:pt>
                <c:pt idx="11">
                  <c:v>-0.54000677804456076</c:v>
                </c:pt>
                <c:pt idx="12">
                  <c:v>-0.51502135581097086</c:v>
                </c:pt>
                <c:pt idx="13">
                  <c:v>-0.49003593357738096</c:v>
                </c:pt>
                <c:pt idx="14">
                  <c:v>-0.465050511343791</c:v>
                </c:pt>
                <c:pt idx="15">
                  <c:v>-0.44006508911020104</c:v>
                </c:pt>
                <c:pt idx="16">
                  <c:v>-0.41507966687661108</c:v>
                </c:pt>
                <c:pt idx="17">
                  <c:v>-0.39009424464302112</c:v>
                </c:pt>
                <c:pt idx="18">
                  <c:v>-0.36510882240943121</c:v>
                </c:pt>
                <c:pt idx="19">
                  <c:v>-0.34012340017584125</c:v>
                </c:pt>
                <c:pt idx="20">
                  <c:v>-0.31513797794225129</c:v>
                </c:pt>
                <c:pt idx="21">
                  <c:v>-0.29015255570866139</c:v>
                </c:pt>
                <c:pt idx="22">
                  <c:v>-0.26516713347507137</c:v>
                </c:pt>
                <c:pt idx="23">
                  <c:v>-0.24018171124148147</c:v>
                </c:pt>
                <c:pt idx="24">
                  <c:v>-0.21519628900789156</c:v>
                </c:pt>
                <c:pt idx="25">
                  <c:v>-0.19021086677430155</c:v>
                </c:pt>
                <c:pt idx="26">
                  <c:v>-0.16522544454071164</c:v>
                </c:pt>
                <c:pt idx="27">
                  <c:v>-0.14024002230712174</c:v>
                </c:pt>
                <c:pt idx="28">
                  <c:v>-0.11525460007353172</c:v>
                </c:pt>
                <c:pt idx="29">
                  <c:v>-9.0269177839941817E-2</c:v>
                </c:pt>
                <c:pt idx="30">
                  <c:v>-6.5283755606351801E-2</c:v>
                </c:pt>
                <c:pt idx="31">
                  <c:v>-4.0298333372761896E-2</c:v>
                </c:pt>
                <c:pt idx="32">
                  <c:v>-1.5312911139171992E-2</c:v>
                </c:pt>
                <c:pt idx="33">
                  <c:v>9.6725110944180237E-3</c:v>
                </c:pt>
                <c:pt idx="34">
                  <c:v>3.4657933328007928E-2</c:v>
                </c:pt>
                <c:pt idx="35">
                  <c:v>5.9643355561597944E-2</c:v>
                </c:pt>
                <c:pt idx="36">
                  <c:v>8.4628777795187848E-2</c:v>
                </c:pt>
                <c:pt idx="37">
                  <c:v>0.10961420002877775</c:v>
                </c:pt>
                <c:pt idx="38">
                  <c:v>0.13459962226236777</c:v>
                </c:pt>
                <c:pt idx="39">
                  <c:v>0.15958504449595767</c:v>
                </c:pt>
                <c:pt idx="40">
                  <c:v>0.18457046672954769</c:v>
                </c:pt>
                <c:pt idx="41">
                  <c:v>0.20955588896313759</c:v>
                </c:pt>
                <c:pt idx="42">
                  <c:v>0.2345413111967275</c:v>
                </c:pt>
                <c:pt idx="43">
                  <c:v>0.2595267334303174</c:v>
                </c:pt>
                <c:pt idx="44">
                  <c:v>0.28451215566390731</c:v>
                </c:pt>
                <c:pt idx="45">
                  <c:v>0.30949757789749743</c:v>
                </c:pt>
                <c:pt idx="46">
                  <c:v>0.33448300013108734</c:v>
                </c:pt>
                <c:pt idx="47">
                  <c:v>0.35946842236467724</c:v>
                </c:pt>
                <c:pt idx="48">
                  <c:v>0.38445384459826715</c:v>
                </c:pt>
                <c:pt idx="49">
                  <c:v>0.40943926683185705</c:v>
                </c:pt>
                <c:pt idx="50">
                  <c:v>0.43442468906544718</c:v>
                </c:pt>
                <c:pt idx="51">
                  <c:v>0.45941011129903708</c:v>
                </c:pt>
                <c:pt idx="52">
                  <c:v>0.48439553353262699</c:v>
                </c:pt>
                <c:pt idx="53">
                  <c:v>0.50938095576621689</c:v>
                </c:pt>
                <c:pt idx="54">
                  <c:v>0.5343663779998068</c:v>
                </c:pt>
                <c:pt idx="55">
                  <c:v>0.5593518002333967</c:v>
                </c:pt>
                <c:pt idx="56">
                  <c:v>0.58433722246698683</c:v>
                </c:pt>
                <c:pt idx="57">
                  <c:v>0.60932264470057673</c:v>
                </c:pt>
                <c:pt idx="58">
                  <c:v>0.63430806693416664</c:v>
                </c:pt>
                <c:pt idx="59">
                  <c:v>0.65929348916775654</c:v>
                </c:pt>
                <c:pt idx="60">
                  <c:v>0.68427891140134645</c:v>
                </c:pt>
                <c:pt idx="61">
                  <c:v>0.70926433363493657</c:v>
                </c:pt>
                <c:pt idx="62">
                  <c:v>0.73424975586852648</c:v>
                </c:pt>
                <c:pt idx="63">
                  <c:v>0.75923517810211638</c:v>
                </c:pt>
                <c:pt idx="64">
                  <c:v>0.78422060033570629</c:v>
                </c:pt>
                <c:pt idx="65">
                  <c:v>0.80920602256929619</c:v>
                </c:pt>
                <c:pt idx="66">
                  <c:v>0.83419144480288632</c:v>
                </c:pt>
                <c:pt idx="67">
                  <c:v>0.85917686703647622</c:v>
                </c:pt>
                <c:pt idx="68">
                  <c:v>0.88416228927006613</c:v>
                </c:pt>
                <c:pt idx="69">
                  <c:v>0.90914771150365603</c:v>
                </c:pt>
                <c:pt idx="70">
                  <c:v>0.93413313373724594</c:v>
                </c:pt>
                <c:pt idx="71">
                  <c:v>0.95911855597083606</c:v>
                </c:pt>
                <c:pt idx="72">
                  <c:v>0.98410397820442597</c:v>
                </c:pt>
                <c:pt idx="73">
                  <c:v>1.009089400438016</c:v>
                </c:pt>
                <c:pt idx="74">
                  <c:v>1.0340748226716059</c:v>
                </c:pt>
                <c:pt idx="75">
                  <c:v>1.0590602449051958</c:v>
                </c:pt>
                <c:pt idx="76">
                  <c:v>1.0840456671387857</c:v>
                </c:pt>
                <c:pt idx="77">
                  <c:v>1.1090310893723756</c:v>
                </c:pt>
                <c:pt idx="78">
                  <c:v>1.1340165116059655</c:v>
                </c:pt>
                <c:pt idx="79">
                  <c:v>1.1590019338395554</c:v>
                </c:pt>
                <c:pt idx="80">
                  <c:v>1.1839873560731458</c:v>
                </c:pt>
                <c:pt idx="81">
                  <c:v>1.2089727783067357</c:v>
                </c:pt>
                <c:pt idx="82">
                  <c:v>1.2339582005403256</c:v>
                </c:pt>
                <c:pt idx="83">
                  <c:v>1.2589436227739155</c:v>
                </c:pt>
                <c:pt idx="84">
                  <c:v>1.2839290450075054</c:v>
                </c:pt>
                <c:pt idx="85">
                  <c:v>1.3089144672410953</c:v>
                </c:pt>
                <c:pt idx="86">
                  <c:v>1.3338998894746852</c:v>
                </c:pt>
                <c:pt idx="87">
                  <c:v>1.3588853117082751</c:v>
                </c:pt>
                <c:pt idx="88">
                  <c:v>1.383870733941865</c:v>
                </c:pt>
                <c:pt idx="89">
                  <c:v>1.4088561561754549</c:v>
                </c:pt>
                <c:pt idx="90">
                  <c:v>1.4338415784090452</c:v>
                </c:pt>
                <c:pt idx="91">
                  <c:v>1.4588270006426352</c:v>
                </c:pt>
                <c:pt idx="92">
                  <c:v>1.4838124228762251</c:v>
                </c:pt>
                <c:pt idx="93">
                  <c:v>1.508797845109815</c:v>
                </c:pt>
                <c:pt idx="94">
                  <c:v>1.5337832673434049</c:v>
                </c:pt>
                <c:pt idx="95">
                  <c:v>1.5587686895769948</c:v>
                </c:pt>
                <c:pt idx="96">
                  <c:v>1.5837541118105847</c:v>
                </c:pt>
                <c:pt idx="97">
                  <c:v>1.6087395340441746</c:v>
                </c:pt>
                <c:pt idx="98">
                  <c:v>1.6337249562777645</c:v>
                </c:pt>
                <c:pt idx="99">
                  <c:v>1.6587103785113544</c:v>
                </c:pt>
                <c:pt idx="100">
                  <c:v>1.6836958007449443</c:v>
                </c:pt>
                <c:pt idx="101">
                  <c:v>1.7086812229785346</c:v>
                </c:pt>
                <c:pt idx="102">
                  <c:v>1.7336666452121245</c:v>
                </c:pt>
                <c:pt idx="103">
                  <c:v>1.7586520674457145</c:v>
                </c:pt>
                <c:pt idx="104">
                  <c:v>1.7836374896793044</c:v>
                </c:pt>
                <c:pt idx="105">
                  <c:v>1.8086229119128943</c:v>
                </c:pt>
                <c:pt idx="106">
                  <c:v>1.8336083341464842</c:v>
                </c:pt>
                <c:pt idx="107">
                  <c:v>1.8585937563800741</c:v>
                </c:pt>
                <c:pt idx="108">
                  <c:v>1.883579178613664</c:v>
                </c:pt>
                <c:pt idx="109">
                  <c:v>1.9085646008472539</c:v>
                </c:pt>
                <c:pt idx="110">
                  <c:v>1.9335500230808438</c:v>
                </c:pt>
                <c:pt idx="111">
                  <c:v>1.9585354453144337</c:v>
                </c:pt>
                <c:pt idx="112">
                  <c:v>1.983520867548024</c:v>
                </c:pt>
                <c:pt idx="113">
                  <c:v>2.0085062897816139</c:v>
                </c:pt>
                <c:pt idx="114">
                  <c:v>2.0334917120152038</c:v>
                </c:pt>
                <c:pt idx="115">
                  <c:v>2.0584771342487937</c:v>
                </c:pt>
                <c:pt idx="116">
                  <c:v>2.0834625564823837</c:v>
                </c:pt>
                <c:pt idx="117">
                  <c:v>2.1084479787159736</c:v>
                </c:pt>
                <c:pt idx="118">
                  <c:v>2.1334334009495635</c:v>
                </c:pt>
                <c:pt idx="119">
                  <c:v>2.1584188231831534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31-4166-83EC-420C9FA6B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499344"/>
        <c:axId val="247500784"/>
      </c:scatterChart>
      <c:valAx>
        <c:axId val="247499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9000"/>
                      <a:lumOff val="91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trails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00784"/>
        <c:crosses val="autoZero"/>
        <c:crossBetween val="midCat"/>
      </c:valAx>
      <c:valAx>
        <c:axId val="2475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failures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9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0</xdr:row>
      <xdr:rowOff>11430</xdr:rowOff>
    </xdr:from>
    <xdr:to>
      <xdr:col>13</xdr:col>
      <xdr:colOff>220980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AF270-FB33-178C-DD73-67279DA23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0</xdr:row>
      <xdr:rowOff>11430</xdr:rowOff>
    </xdr:from>
    <xdr:to>
      <xdr:col>13</xdr:col>
      <xdr:colOff>220980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E7E05-A06C-40DB-88FB-213314B69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0</xdr:row>
      <xdr:rowOff>11430</xdr:rowOff>
    </xdr:from>
    <xdr:to>
      <xdr:col>13</xdr:col>
      <xdr:colOff>220980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6DDDC-4827-4688-93B4-CF079B55C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41910</xdr:rowOff>
    </xdr:from>
    <xdr:to>
      <xdr:col>6</xdr:col>
      <xdr:colOff>312420</xdr:colOff>
      <xdr:row>32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509D9-6A82-AD09-4A53-7E0753D95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325717</xdr:colOff>
      <xdr:row>15</xdr:row>
      <xdr:rowOff>136712</xdr:rowOff>
    </xdr:from>
    <xdr:to>
      <xdr:col>19</xdr:col>
      <xdr:colOff>144682</xdr:colOff>
      <xdr:row>51</xdr:row>
      <xdr:rowOff>96455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7AEF5-2E14-483D-AF40-66D23DF50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H19" sqref="H19"/>
    </sheetView>
  </sheetViews>
  <sheetFormatPr baseColWidth="10" defaultColWidth="8.83203125" defaultRowHeight="15" x14ac:dyDescent="0.2"/>
  <cols>
    <col min="8" max="8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1</v>
      </c>
      <c r="B2">
        <v>8605</v>
      </c>
      <c r="C2">
        <f>(A2-0.3)/10.4</f>
        <v>6.7307692307692304E-2</v>
      </c>
      <c r="D2">
        <f t="shared" ref="D2:D11" si="0">LN(B2)</f>
        <v>9.0600987086456399</v>
      </c>
      <c r="E2">
        <f t="shared" ref="E2:E11" si="1">LN(-LN(1-C2))</f>
        <v>-2.6638430853881676</v>
      </c>
    </row>
    <row r="3" spans="1:5" x14ac:dyDescent="0.2">
      <c r="A3">
        <v>2</v>
      </c>
      <c r="B3">
        <v>9023</v>
      </c>
      <c r="C3">
        <f t="shared" ref="C3:C11" si="2">(A3-0.3)/10.4</f>
        <v>0.16346153846153846</v>
      </c>
      <c r="D3">
        <f t="shared" si="0"/>
        <v>9.1075321519945014</v>
      </c>
      <c r="E3">
        <f t="shared" si="1"/>
        <v>-1.7232631502768931</v>
      </c>
    </row>
    <row r="4" spans="1:5" x14ac:dyDescent="0.2">
      <c r="A4">
        <v>3</v>
      </c>
      <c r="B4">
        <v>9882</v>
      </c>
      <c r="C4">
        <f t="shared" si="2"/>
        <v>0.25961538461538464</v>
      </c>
      <c r="D4">
        <f t="shared" si="0"/>
        <v>9.1984701994056959</v>
      </c>
      <c r="E4">
        <f t="shared" si="1"/>
        <v>-1.2020231152465504</v>
      </c>
    </row>
    <row r="5" spans="1:5" x14ac:dyDescent="0.2">
      <c r="A5">
        <v>4</v>
      </c>
      <c r="B5">
        <v>10542</v>
      </c>
      <c r="C5">
        <f t="shared" si="2"/>
        <v>0.35576923076923078</v>
      </c>
      <c r="D5">
        <f t="shared" si="0"/>
        <v>9.2631225574151514</v>
      </c>
      <c r="E5">
        <f t="shared" si="1"/>
        <v>-0.82166651512868716</v>
      </c>
    </row>
    <row r="6" spans="1:5" x14ac:dyDescent="0.2">
      <c r="A6">
        <v>5</v>
      </c>
      <c r="B6">
        <v>12166</v>
      </c>
      <c r="C6">
        <f t="shared" si="2"/>
        <v>0.45192307692307693</v>
      </c>
      <c r="D6">
        <f t="shared" si="0"/>
        <v>9.4064004548806501</v>
      </c>
      <c r="E6">
        <f t="shared" si="1"/>
        <v>-0.50859539373414853</v>
      </c>
    </row>
    <row r="7" spans="1:5" x14ac:dyDescent="0.2">
      <c r="A7">
        <v>6</v>
      </c>
      <c r="B7">
        <v>12850</v>
      </c>
      <c r="C7">
        <f t="shared" si="2"/>
        <v>0.54807692307692313</v>
      </c>
      <c r="D7">
        <f t="shared" si="0"/>
        <v>9.4610990903233656</v>
      </c>
      <c r="E7">
        <f t="shared" si="1"/>
        <v>-0.23036544473331988</v>
      </c>
    </row>
    <row r="8" spans="1:5" x14ac:dyDescent="0.2">
      <c r="A8">
        <v>7</v>
      </c>
      <c r="B8">
        <v>20151</v>
      </c>
      <c r="C8">
        <f t="shared" si="2"/>
        <v>0.64423076923076927</v>
      </c>
      <c r="D8">
        <f t="shared" si="0"/>
        <v>9.9110091939349747</v>
      </c>
      <c r="E8">
        <f t="shared" si="1"/>
        <v>3.2924961914339322E-2</v>
      </c>
    </row>
    <row r="9" spans="1:5" x14ac:dyDescent="0.2">
      <c r="A9">
        <v>8</v>
      </c>
      <c r="B9">
        <v>21399</v>
      </c>
      <c r="C9">
        <f t="shared" si="2"/>
        <v>0.74038461538461542</v>
      </c>
      <c r="D9">
        <f t="shared" si="0"/>
        <v>9.9710994709461485</v>
      </c>
      <c r="E9">
        <f t="shared" si="1"/>
        <v>0.29903293186204805</v>
      </c>
    </row>
    <row r="10" spans="1:5" x14ac:dyDescent="0.2">
      <c r="A10">
        <v>9</v>
      </c>
      <c r="B10">
        <v>22012</v>
      </c>
      <c r="C10">
        <f t="shared" si="2"/>
        <v>0.83653846153846145</v>
      </c>
      <c r="D10">
        <f t="shared" si="0"/>
        <v>9.9993430381796493</v>
      </c>
      <c r="E10">
        <f t="shared" si="1"/>
        <v>0.59397721666038561</v>
      </c>
    </row>
    <row r="11" spans="1:5" x14ac:dyDescent="0.2">
      <c r="A11">
        <v>10</v>
      </c>
      <c r="B11">
        <v>22226</v>
      </c>
      <c r="C11">
        <f t="shared" si="2"/>
        <v>0.9326923076923076</v>
      </c>
      <c r="D11">
        <f t="shared" si="0"/>
        <v>10.009018053745592</v>
      </c>
      <c r="E11">
        <f t="shared" si="1"/>
        <v>0.99268892949027088</v>
      </c>
    </row>
    <row r="17" spans="7:8" x14ac:dyDescent="0.2">
      <c r="G17" t="s">
        <v>5</v>
      </c>
      <c r="H17">
        <v>2.6063000000000001</v>
      </c>
    </row>
    <row r="18" spans="7:8" x14ac:dyDescent="0.2">
      <c r="G18" t="s">
        <v>6</v>
      </c>
      <c r="H18">
        <f>25.384/H17</f>
        <v>9.7394774200974563</v>
      </c>
    </row>
    <row r="19" spans="7:8" x14ac:dyDescent="0.2">
      <c r="G19" t="s">
        <v>7</v>
      </c>
      <c r="H19">
        <f>EXP(H18)</f>
        <v>16974.668441945807</v>
      </c>
    </row>
  </sheetData>
  <sortState xmlns:xlrd2="http://schemas.microsoft.com/office/spreadsheetml/2017/richdata2" ref="B2:B11">
    <sortCondition ref="B2:B1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C26" sqref="C26"/>
    </sheetView>
  </sheetViews>
  <sheetFormatPr baseColWidth="10" defaultColWidth="8.83203125" defaultRowHeight="15" x14ac:dyDescent="0.2"/>
  <cols>
    <col min="8" max="8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1</v>
      </c>
      <c r="B2">
        <v>3598</v>
      </c>
      <c r="C2">
        <f>(A2-0.3)/12.4</f>
        <v>5.6451612903225798E-2</v>
      </c>
      <c r="D2">
        <f t="shared" ref="D2:D13" si="0">LN(B2)</f>
        <v>8.188133414510478</v>
      </c>
      <c r="E2">
        <f>LN(-LN(1-C2))</f>
        <v>-2.8454582845526275</v>
      </c>
    </row>
    <row r="3" spans="1:5" x14ac:dyDescent="0.2">
      <c r="A3">
        <v>2</v>
      </c>
      <c r="B3">
        <v>4125</v>
      </c>
      <c r="C3">
        <f t="shared" ref="C3:C13" si="1">(A3-0.3)/12.4</f>
        <v>0.13709677419354838</v>
      </c>
      <c r="D3">
        <f t="shared" si="0"/>
        <v>8.3248212987687822</v>
      </c>
      <c r="E3">
        <f t="shared" ref="E3:E13" si="2">LN(-LN(1-C3))</f>
        <v>-1.9142476213889619</v>
      </c>
    </row>
    <row r="4" spans="1:5" x14ac:dyDescent="0.2">
      <c r="A4">
        <v>3</v>
      </c>
      <c r="B4">
        <v>4691</v>
      </c>
      <c r="C4">
        <f t="shared" si="1"/>
        <v>0.21774193548387097</v>
      </c>
      <c r="D4">
        <f t="shared" si="0"/>
        <v>8.453401058328458</v>
      </c>
      <c r="E4">
        <f t="shared" si="2"/>
        <v>-1.4041708492389602</v>
      </c>
    </row>
    <row r="5" spans="1:5" x14ac:dyDescent="0.2">
      <c r="A5">
        <v>4</v>
      </c>
      <c r="B5">
        <v>5280</v>
      </c>
      <c r="C5">
        <f t="shared" si="1"/>
        <v>0.29838709677419356</v>
      </c>
      <c r="D5">
        <f t="shared" si="0"/>
        <v>8.5716813767003064</v>
      </c>
      <c r="E5">
        <f t="shared" si="2"/>
        <v>-1.0374039870128544</v>
      </c>
    </row>
    <row r="6" spans="1:5" x14ac:dyDescent="0.2">
      <c r="A6">
        <v>5</v>
      </c>
      <c r="B6">
        <v>5878</v>
      </c>
      <c r="C6">
        <f t="shared" si="1"/>
        <v>0.37903225806451613</v>
      </c>
      <c r="D6">
        <f t="shared" si="0"/>
        <v>8.6789718469788628</v>
      </c>
      <c r="E6">
        <f t="shared" si="2"/>
        <v>-0.74133762272073522</v>
      </c>
    </row>
    <row r="7" spans="1:5" x14ac:dyDescent="0.2">
      <c r="A7">
        <v>6</v>
      </c>
      <c r="B7">
        <v>6102</v>
      </c>
      <c r="C7">
        <f t="shared" si="1"/>
        <v>0.45967741935483869</v>
      </c>
      <c r="D7">
        <f t="shared" si="0"/>
        <v>8.7163718652766153</v>
      </c>
      <c r="E7">
        <f t="shared" si="2"/>
        <v>-0.48517583329611957</v>
      </c>
    </row>
    <row r="8" spans="1:5" x14ac:dyDescent="0.2">
      <c r="A8">
        <v>7</v>
      </c>
      <c r="B8">
        <v>6509</v>
      </c>
      <c r="C8">
        <f t="shared" si="1"/>
        <v>0.54032258064516125</v>
      </c>
      <c r="D8">
        <f t="shared" si="0"/>
        <v>8.7809411135723874</v>
      </c>
      <c r="E8">
        <f t="shared" si="2"/>
        <v>-0.25201857900336377</v>
      </c>
    </row>
    <row r="9" spans="1:5" x14ac:dyDescent="0.2">
      <c r="A9">
        <v>8</v>
      </c>
      <c r="B9">
        <v>8500</v>
      </c>
      <c r="C9">
        <f t="shared" si="1"/>
        <v>0.62096774193548387</v>
      </c>
      <c r="D9">
        <f t="shared" si="0"/>
        <v>9.0478214424784085</v>
      </c>
      <c r="E9">
        <f t="shared" si="2"/>
        <v>-3.0321109912392188E-2</v>
      </c>
    </row>
    <row r="10" spans="1:5" x14ac:dyDescent="0.2">
      <c r="A10">
        <v>9</v>
      </c>
      <c r="B10">
        <v>9129</v>
      </c>
      <c r="C10">
        <f t="shared" si="1"/>
        <v>0.70161290322580638</v>
      </c>
      <c r="D10">
        <f t="shared" si="0"/>
        <v>9.1192114385650811</v>
      </c>
      <c r="E10">
        <f t="shared" si="2"/>
        <v>0.19009431462729001</v>
      </c>
    </row>
    <row r="11" spans="1:5" x14ac:dyDescent="0.2">
      <c r="A11">
        <v>10</v>
      </c>
      <c r="B11">
        <v>11660</v>
      </c>
      <c r="C11">
        <f t="shared" si="1"/>
        <v>0.782258064516129</v>
      </c>
      <c r="D11">
        <f t="shared" si="0"/>
        <v>9.3639194599044835</v>
      </c>
      <c r="E11">
        <f t="shared" si="2"/>
        <v>0.4216302123380633</v>
      </c>
    </row>
    <row r="12" spans="1:5" x14ac:dyDescent="0.2">
      <c r="A12">
        <v>11</v>
      </c>
      <c r="B12">
        <v>11751</v>
      </c>
      <c r="C12">
        <f>(A12-0.3)/12.4</f>
        <v>0.86290322580645151</v>
      </c>
      <c r="D12">
        <f t="shared" si="0"/>
        <v>9.3716936223339413</v>
      </c>
      <c r="E12">
        <f t="shared" si="2"/>
        <v>0.68666029692533626</v>
      </c>
    </row>
    <row r="13" spans="1:5" x14ac:dyDescent="0.2">
      <c r="A13">
        <v>12</v>
      </c>
      <c r="B13">
        <v>11895</v>
      </c>
      <c r="C13">
        <f t="shared" si="1"/>
        <v>0.94354838709677413</v>
      </c>
      <c r="D13">
        <f t="shared" si="0"/>
        <v>9.3838734227370573</v>
      </c>
      <c r="E13">
        <f t="shared" si="2"/>
        <v>1.055834012622767</v>
      </c>
    </row>
    <row r="17" spans="7:8" x14ac:dyDescent="0.2">
      <c r="G17" t="s">
        <v>5</v>
      </c>
      <c r="H17">
        <v>2.6017000000000001</v>
      </c>
    </row>
    <row r="18" spans="7:8" x14ac:dyDescent="0.2">
      <c r="G18" t="s">
        <v>6</v>
      </c>
      <c r="H18">
        <f>23.512/H17</f>
        <v>9.0371680055348431</v>
      </c>
    </row>
    <row r="19" spans="7:8" x14ac:dyDescent="0.2">
      <c r="G19" t="s">
        <v>7</v>
      </c>
      <c r="H19">
        <f>EXP(H18)</f>
        <v>8409.926434417368</v>
      </c>
    </row>
  </sheetData>
  <sortState xmlns:xlrd2="http://schemas.microsoft.com/office/spreadsheetml/2017/richdata2" ref="B2:B13">
    <sortCondition ref="B2:B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D24" sqref="D24"/>
    </sheetView>
  </sheetViews>
  <sheetFormatPr baseColWidth="10" defaultColWidth="8.83203125" defaultRowHeight="15" x14ac:dyDescent="0.2"/>
  <cols>
    <col min="8" max="8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1</v>
      </c>
      <c r="B2">
        <v>2521</v>
      </c>
      <c r="C2">
        <f>(A2-0.3)/12.4</f>
        <v>5.6451612903225798E-2</v>
      </c>
      <c r="D2">
        <f t="shared" ref="D2:D13" si="0">LN(B2)</f>
        <v>7.8324109271879196</v>
      </c>
      <c r="E2">
        <f>LN(-LN(1-C2))</f>
        <v>-2.8454582845526275</v>
      </c>
    </row>
    <row r="3" spans="1:5" x14ac:dyDescent="0.2">
      <c r="A3">
        <v>2</v>
      </c>
      <c r="B3">
        <v>3695</v>
      </c>
      <c r="C3">
        <f t="shared" ref="C3:C13" si="1">(A3-0.3)/12.4</f>
        <v>0.13709677419354838</v>
      </c>
      <c r="D3">
        <f t="shared" si="0"/>
        <v>8.2147358333823028</v>
      </c>
      <c r="E3">
        <f t="shared" ref="E3:E13" si="2">LN(-LN(1-C3))</f>
        <v>-1.9142476213889619</v>
      </c>
    </row>
    <row r="4" spans="1:5" x14ac:dyDescent="0.2">
      <c r="A4">
        <v>3</v>
      </c>
      <c r="B4">
        <v>3982</v>
      </c>
      <c r="C4">
        <f t="shared" si="1"/>
        <v>0.21774193548387097</v>
      </c>
      <c r="D4">
        <f t="shared" si="0"/>
        <v>8.2895394846241413</v>
      </c>
      <c r="E4">
        <f t="shared" si="2"/>
        <v>-1.4041708492389602</v>
      </c>
    </row>
    <row r="5" spans="1:5" x14ac:dyDescent="0.2">
      <c r="A5">
        <v>4</v>
      </c>
      <c r="B5">
        <v>4491</v>
      </c>
      <c r="C5">
        <f t="shared" si="1"/>
        <v>0.29838709677419356</v>
      </c>
      <c r="D5">
        <f t="shared" si="0"/>
        <v>8.4098306730877379</v>
      </c>
      <c r="E5">
        <f t="shared" si="2"/>
        <v>-1.0374039870128544</v>
      </c>
    </row>
    <row r="6" spans="1:5" x14ac:dyDescent="0.2">
      <c r="A6">
        <v>5</v>
      </c>
      <c r="B6">
        <v>4581</v>
      </c>
      <c r="C6">
        <f t="shared" si="1"/>
        <v>0.37903225806451613</v>
      </c>
      <c r="D6">
        <f t="shared" si="0"/>
        <v>8.4296725938867425</v>
      </c>
      <c r="E6">
        <f t="shared" si="2"/>
        <v>-0.74133762272073522</v>
      </c>
    </row>
    <row r="7" spans="1:5" x14ac:dyDescent="0.2">
      <c r="A7">
        <v>6</v>
      </c>
      <c r="B7">
        <v>4882</v>
      </c>
      <c r="C7">
        <f t="shared" si="1"/>
        <v>0.45967741935483869</v>
      </c>
      <c r="D7">
        <f t="shared" si="0"/>
        <v>8.4933102509529057</v>
      </c>
      <c r="E7">
        <f t="shared" si="2"/>
        <v>-0.48517583329611957</v>
      </c>
    </row>
    <row r="8" spans="1:5" x14ac:dyDescent="0.2">
      <c r="A8">
        <v>7</v>
      </c>
      <c r="B8">
        <v>5642</v>
      </c>
      <c r="C8">
        <f t="shared" si="1"/>
        <v>0.54032258064516125</v>
      </c>
      <c r="D8">
        <f t="shared" si="0"/>
        <v>8.6379938915619423</v>
      </c>
      <c r="E8">
        <f t="shared" si="2"/>
        <v>-0.25201857900336377</v>
      </c>
    </row>
    <row r="9" spans="1:5" x14ac:dyDescent="0.2">
      <c r="A9">
        <v>8</v>
      </c>
      <c r="B9">
        <v>5964</v>
      </c>
      <c r="C9">
        <f t="shared" si="1"/>
        <v>0.62096774193548387</v>
      </c>
      <c r="D9">
        <f t="shared" si="0"/>
        <v>8.6934966758846297</v>
      </c>
      <c r="E9">
        <f t="shared" si="2"/>
        <v>-3.0321109912392188E-2</v>
      </c>
    </row>
    <row r="10" spans="1:5" x14ac:dyDescent="0.2">
      <c r="A10">
        <v>9</v>
      </c>
      <c r="B10">
        <v>6105</v>
      </c>
      <c r="C10">
        <f t="shared" si="1"/>
        <v>0.70161290322580638</v>
      </c>
      <c r="D10">
        <f t="shared" si="0"/>
        <v>8.7168633865448051</v>
      </c>
      <c r="E10">
        <f t="shared" si="2"/>
        <v>0.19009431462729001</v>
      </c>
    </row>
    <row r="11" spans="1:5" x14ac:dyDescent="0.2">
      <c r="A11">
        <v>10</v>
      </c>
      <c r="B11">
        <v>6180</v>
      </c>
      <c r="C11">
        <f t="shared" si="1"/>
        <v>0.782258064516129</v>
      </c>
      <c r="D11">
        <f t="shared" si="0"/>
        <v>8.7290735504517372</v>
      </c>
      <c r="E11">
        <f t="shared" si="2"/>
        <v>0.4216302123380633</v>
      </c>
    </row>
    <row r="12" spans="1:5" x14ac:dyDescent="0.2">
      <c r="A12">
        <v>11</v>
      </c>
      <c r="B12">
        <v>6250</v>
      </c>
      <c r="C12">
        <f>(A12-0.3)/12.4</f>
        <v>0.86290322580645151</v>
      </c>
      <c r="D12">
        <f t="shared" si="0"/>
        <v>8.740336742730447</v>
      </c>
      <c r="E12">
        <f t="shared" si="2"/>
        <v>0.68666029692533626</v>
      </c>
    </row>
    <row r="13" spans="1:5" x14ac:dyDescent="0.2">
      <c r="A13">
        <v>12</v>
      </c>
      <c r="B13">
        <v>6601</v>
      </c>
      <c r="C13">
        <f t="shared" si="1"/>
        <v>0.94354838709677413</v>
      </c>
      <c r="D13">
        <f t="shared" si="0"/>
        <v>8.7949764316887702</v>
      </c>
      <c r="E13">
        <f t="shared" si="2"/>
        <v>1.055834012622767</v>
      </c>
    </row>
    <row r="17" spans="7:8" x14ac:dyDescent="0.2">
      <c r="G17" t="s">
        <v>5</v>
      </c>
      <c r="H17">
        <v>3.9022999999999999</v>
      </c>
    </row>
    <row r="18" spans="7:8" x14ac:dyDescent="0.2">
      <c r="G18" t="s">
        <v>6</v>
      </c>
      <c r="H18">
        <f>33.694/H17</f>
        <v>8.6343951003254507</v>
      </c>
    </row>
    <row r="19" spans="7:8" x14ac:dyDescent="0.2">
      <c r="G19" t="s">
        <v>7</v>
      </c>
      <c r="H19">
        <f>EXP(H18)</f>
        <v>5621.7321116677922</v>
      </c>
    </row>
  </sheetData>
  <sortState xmlns:xlrd2="http://schemas.microsoft.com/office/spreadsheetml/2017/richdata2" ref="B2:B13">
    <sortCondition ref="B2:B1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B19" zoomScale="102" zoomScaleNormal="40" workbookViewId="0">
      <selection activeCell="L35" sqref="L35"/>
    </sheetView>
  </sheetViews>
  <sheetFormatPr baseColWidth="10" defaultColWidth="8.83203125" defaultRowHeight="15" x14ac:dyDescent="0.2"/>
  <cols>
    <col min="1" max="1" width="15.6640625" bestFit="1" customWidth="1"/>
    <col min="3" max="3" width="9.1640625" customWidth="1"/>
    <col min="6" max="6" width="10.5" bestFit="1" customWidth="1"/>
    <col min="7" max="7" width="12" bestFit="1" customWidth="1"/>
    <col min="8" max="8" width="18.33203125" bestFit="1" customWidth="1"/>
    <col min="9" max="9" width="12" bestFit="1" customWidth="1"/>
    <col min="10" max="10" width="10.5" bestFit="1" customWidth="1"/>
    <col min="11" max="11" width="12" bestFit="1" customWidth="1"/>
    <col min="13" max="13" width="16.33203125" bestFit="1" customWidth="1"/>
  </cols>
  <sheetData>
    <row r="1" spans="1:11" x14ac:dyDescent="0.2">
      <c r="F1" s="41" t="s">
        <v>14</v>
      </c>
      <c r="G1" s="41"/>
      <c r="H1" s="41" t="s">
        <v>15</v>
      </c>
      <c r="I1" s="41"/>
      <c r="J1" s="41" t="s">
        <v>16</v>
      </c>
      <c r="K1" s="41"/>
    </row>
    <row r="2" spans="1:11" x14ac:dyDescent="0.2">
      <c r="F2" t="s">
        <v>1</v>
      </c>
      <c r="G2" t="s">
        <v>17</v>
      </c>
      <c r="H2" t="s">
        <v>1</v>
      </c>
      <c r="I2" t="s">
        <v>17</v>
      </c>
      <c r="J2" t="s">
        <v>1</v>
      </c>
      <c r="K2" t="s">
        <v>17</v>
      </c>
    </row>
    <row r="3" spans="1:11" x14ac:dyDescent="0.2">
      <c r="F3">
        <v>8605</v>
      </c>
      <c r="G3">
        <f>F3^$B$8</f>
        <v>889037945698.52673</v>
      </c>
      <c r="H3">
        <v>3598</v>
      </c>
      <c r="I3">
        <f>H3^$B$8</f>
        <v>62940181696.855728</v>
      </c>
      <c r="J3">
        <v>2521</v>
      </c>
      <c r="K3">
        <f>J3^$B$8</f>
        <v>21368942575.362141</v>
      </c>
    </row>
    <row r="4" spans="1:11" x14ac:dyDescent="0.2">
      <c r="A4" t="s">
        <v>9</v>
      </c>
      <c r="B4" t="s">
        <v>10</v>
      </c>
      <c r="C4" t="s">
        <v>12</v>
      </c>
      <c r="D4" t="s">
        <v>11</v>
      </c>
      <c r="F4">
        <v>9023</v>
      </c>
      <c r="G4">
        <f t="shared" ref="G4:G12" si="0">F4^$B$8</f>
        <v>1026781280403.6821</v>
      </c>
      <c r="H4">
        <v>4125</v>
      </c>
      <c r="I4">
        <f t="shared" ref="I4:I14" si="1">H4^$B$8</f>
        <v>95323273047.670197</v>
      </c>
      <c r="J4">
        <v>3695</v>
      </c>
      <c r="K4">
        <f t="shared" ref="K4:K14" si="2">J4^$B$8</f>
        <v>68235852100.193825</v>
      </c>
    </row>
    <row r="5" spans="1:11" x14ac:dyDescent="0.2">
      <c r="A5">
        <v>0.8</v>
      </c>
      <c r="B5">
        <v>2.6063000000000001</v>
      </c>
      <c r="C5">
        <f>25.384/B5</f>
        <v>9.7394774200974563</v>
      </c>
      <c r="D5">
        <f>EXP(C5)</f>
        <v>16974.668441945807</v>
      </c>
      <c r="F5">
        <v>9882</v>
      </c>
      <c r="G5">
        <f t="shared" si="0"/>
        <v>1353354831214.6716</v>
      </c>
      <c r="H5">
        <v>4691</v>
      </c>
      <c r="I5">
        <f t="shared" si="1"/>
        <v>140856369751.15198</v>
      </c>
      <c r="J5">
        <v>3982</v>
      </c>
      <c r="K5">
        <f t="shared" si="2"/>
        <v>85638192009.318466</v>
      </c>
    </row>
    <row r="6" spans="1:11" x14ac:dyDescent="0.2">
      <c r="A6">
        <v>1</v>
      </c>
      <c r="B6">
        <v>2.6017000000000001</v>
      </c>
      <c r="C6">
        <f>23.512/B6</f>
        <v>9.0371680055348431</v>
      </c>
      <c r="D6">
        <f>EXP(C6)</f>
        <v>8409.926434417368</v>
      </c>
      <c r="F6">
        <v>10542</v>
      </c>
      <c r="G6">
        <f t="shared" si="0"/>
        <v>1646942758657.1899</v>
      </c>
      <c r="H6">
        <v>5280</v>
      </c>
      <c r="I6">
        <f t="shared" si="1"/>
        <v>201730055568.20312</v>
      </c>
      <c r="J6">
        <v>4491</v>
      </c>
      <c r="K6">
        <f t="shared" si="2"/>
        <v>123399569572.42422</v>
      </c>
    </row>
    <row r="7" spans="1:11" x14ac:dyDescent="0.2">
      <c r="A7">
        <v>1.5</v>
      </c>
      <c r="B7">
        <v>3.9022999999999999</v>
      </c>
      <c r="C7">
        <f>33.694/B7</f>
        <v>8.6343951003254507</v>
      </c>
      <c r="D7">
        <f>EXP(C7)</f>
        <v>5621.7321116677922</v>
      </c>
      <c r="F7">
        <v>12166</v>
      </c>
      <c r="G7">
        <f t="shared" si="0"/>
        <v>2544724108371.4814</v>
      </c>
      <c r="H7">
        <v>5878</v>
      </c>
      <c r="I7">
        <f t="shared" si="1"/>
        <v>279428534364.6051</v>
      </c>
      <c r="J7">
        <v>4581</v>
      </c>
      <c r="K7">
        <f t="shared" si="2"/>
        <v>131063626935.29889</v>
      </c>
    </row>
    <row r="8" spans="1:11" x14ac:dyDescent="0.2">
      <c r="A8" t="s">
        <v>13</v>
      </c>
      <c r="B8">
        <f>AVERAGE(B5:B7)</f>
        <v>3.0367666666666668</v>
      </c>
      <c r="F8">
        <v>12850</v>
      </c>
      <c r="G8">
        <f t="shared" si="0"/>
        <v>3004554282202.7476</v>
      </c>
      <c r="H8">
        <v>6102</v>
      </c>
      <c r="I8">
        <f t="shared" si="1"/>
        <v>313037094969.28998</v>
      </c>
      <c r="J8">
        <v>4882</v>
      </c>
      <c r="K8">
        <f t="shared" si="2"/>
        <v>159004995951.57288</v>
      </c>
    </row>
    <row r="9" spans="1:11" x14ac:dyDescent="0.2">
      <c r="F9">
        <v>20151</v>
      </c>
      <c r="G9">
        <f t="shared" si="0"/>
        <v>11779977135237.869</v>
      </c>
      <c r="H9">
        <v>6509</v>
      </c>
      <c r="I9">
        <f t="shared" si="1"/>
        <v>380849178086.33057</v>
      </c>
      <c r="J9">
        <v>5642</v>
      </c>
      <c r="K9">
        <f t="shared" si="2"/>
        <v>246732827169.11197</v>
      </c>
    </row>
    <row r="10" spans="1:11" x14ac:dyDescent="0.2">
      <c r="A10" t="s">
        <v>75</v>
      </c>
      <c r="F10">
        <v>21399</v>
      </c>
      <c r="G10">
        <f t="shared" si="0"/>
        <v>14138214612363.049</v>
      </c>
      <c r="H10">
        <v>8500</v>
      </c>
      <c r="I10">
        <f t="shared" si="1"/>
        <v>856502062248.72192</v>
      </c>
      <c r="J10">
        <v>5964</v>
      </c>
      <c r="K10">
        <f t="shared" si="2"/>
        <v>292029576101.40442</v>
      </c>
    </row>
    <row r="11" spans="1:11" x14ac:dyDescent="0.2">
      <c r="A11" t="s">
        <v>8</v>
      </c>
      <c r="F11">
        <v>22012</v>
      </c>
      <c r="G11">
        <f t="shared" si="0"/>
        <v>15404358840793.102</v>
      </c>
      <c r="H11">
        <v>9129</v>
      </c>
      <c r="I11">
        <f t="shared" si="1"/>
        <v>1063851918605.9318</v>
      </c>
      <c r="J11">
        <v>6105</v>
      </c>
      <c r="K11">
        <f t="shared" si="2"/>
        <v>313504694110.4549</v>
      </c>
    </row>
    <row r="12" spans="1:11" x14ac:dyDescent="0.2">
      <c r="A12" t="s">
        <v>21</v>
      </c>
      <c r="F12">
        <v>22226</v>
      </c>
      <c r="G12">
        <f t="shared" si="0"/>
        <v>15863665027775.195</v>
      </c>
      <c r="H12">
        <v>11660</v>
      </c>
      <c r="I12">
        <f t="shared" si="1"/>
        <v>2236735348922.0322</v>
      </c>
      <c r="J12">
        <v>6180</v>
      </c>
      <c r="K12">
        <f t="shared" si="2"/>
        <v>325347470740.91052</v>
      </c>
    </row>
    <row r="13" spans="1:11" x14ac:dyDescent="0.2">
      <c r="H13">
        <v>11751</v>
      </c>
      <c r="I13">
        <f t="shared" si="1"/>
        <v>2290169166307.4775</v>
      </c>
      <c r="J13">
        <v>6250</v>
      </c>
      <c r="K13">
        <f t="shared" si="2"/>
        <v>336668052945.73688</v>
      </c>
    </row>
    <row r="14" spans="1:11" x14ac:dyDescent="0.2">
      <c r="A14" t="s">
        <v>9</v>
      </c>
      <c r="B14" t="s">
        <v>18</v>
      </c>
      <c r="C14" t="s">
        <v>11</v>
      </c>
      <c r="D14" t="s">
        <v>19</v>
      </c>
      <c r="E14" t="s">
        <v>20</v>
      </c>
      <c r="H14">
        <v>11895</v>
      </c>
      <c r="I14">
        <f t="shared" si="1"/>
        <v>2376462169716.5137</v>
      </c>
      <c r="J14">
        <v>6601</v>
      </c>
      <c r="K14">
        <f t="shared" si="2"/>
        <v>397432625815.59747</v>
      </c>
    </row>
    <row r="15" spans="1:11" x14ac:dyDescent="0.2">
      <c r="A15">
        <v>0.8</v>
      </c>
      <c r="B15">
        <f>AVERAGE(B8:B14)</f>
        <v>3.0367666666666668</v>
      </c>
      <c r="C15">
        <f>((SUM(G3:G12)/COUNT(G3:G12))^(1/B8))</f>
        <v>16787.263396476155</v>
      </c>
      <c r="D15">
        <f>LN(C15)</f>
        <v>9.7283757467024561</v>
      </c>
      <c r="E15">
        <f>LN(A15)</f>
        <v>-0.22314355131420971</v>
      </c>
    </row>
    <row r="16" spans="1:11" x14ac:dyDescent="0.2">
      <c r="A16">
        <v>1</v>
      </c>
      <c r="B16">
        <f>AVERAGE(B9:B15)</f>
        <v>3.0367666666666668</v>
      </c>
      <c r="C16">
        <f>((SUM(I3:I14)/COUNT(I3:I14))^(1/B8))</f>
        <v>8505.4051671542857</v>
      </c>
      <c r="D16">
        <f t="shared" ref="D16:D17" si="3">LN(C16)</f>
        <v>9.0484571423965434</v>
      </c>
      <c r="E16">
        <f t="shared" ref="E16:E17" si="4">LN(A16)</f>
        <v>0</v>
      </c>
    </row>
    <row r="17" spans="1:13" x14ac:dyDescent="0.2">
      <c r="A17">
        <v>1.5</v>
      </c>
      <c r="B17">
        <f>AVERAGE(B14:B16)</f>
        <v>3.0367666666666668</v>
      </c>
      <c r="C17">
        <f>((SUM(K3:K14)/COUNT(K3:K14))^(1/B8))</f>
        <v>5336.5991155988031</v>
      </c>
      <c r="D17">
        <f t="shared" si="3"/>
        <v>8.5823438593285104</v>
      </c>
      <c r="E17">
        <f t="shared" si="4"/>
        <v>0.40546510810816438</v>
      </c>
    </row>
    <row r="18" spans="1:13" x14ac:dyDescent="0.2">
      <c r="H18" t="s">
        <v>22</v>
      </c>
    </row>
    <row r="19" spans="1:13" x14ac:dyDescent="0.2">
      <c r="H19" t="s">
        <v>23</v>
      </c>
      <c r="I19">
        <v>9.2256</v>
      </c>
    </row>
    <row r="20" spans="1:13" x14ac:dyDescent="0.2">
      <c r="H20" t="s">
        <v>25</v>
      </c>
      <c r="I20">
        <f>EXP(I19)</f>
        <v>10153.766506303136</v>
      </c>
    </row>
    <row r="21" spans="1:13" x14ac:dyDescent="0.2">
      <c r="H21" t="s">
        <v>24</v>
      </c>
      <c r="I21">
        <v>1.7414000000000001</v>
      </c>
    </row>
    <row r="23" spans="1:13" x14ac:dyDescent="0.2">
      <c r="H23" s="22" t="s">
        <v>26</v>
      </c>
      <c r="I23" s="22" t="s">
        <v>27</v>
      </c>
      <c r="J23" s="22" t="s">
        <v>28</v>
      </c>
      <c r="K23" s="22" t="s">
        <v>29</v>
      </c>
      <c r="L23" s="22" t="s">
        <v>30</v>
      </c>
      <c r="M23" s="22" t="s">
        <v>73</v>
      </c>
    </row>
    <row r="24" spans="1:13" x14ac:dyDescent="0.2">
      <c r="H24" t="s">
        <v>31</v>
      </c>
      <c r="I24">
        <v>0.2</v>
      </c>
      <c r="J24">
        <f>$I$20/I24^$I$21</f>
        <v>167422.39018847322</v>
      </c>
      <c r="K24">
        <f>$J$24/J24</f>
        <v>1</v>
      </c>
      <c r="L24">
        <f>J24*_xlfn.GAMMA(1+(1/$B$8))</f>
        <v>149585.78581029689</v>
      </c>
      <c r="M24">
        <f>$I$29/K24</f>
        <v>30000</v>
      </c>
    </row>
    <row r="25" spans="1:13" x14ac:dyDescent="0.2">
      <c r="H25" s="5" t="s">
        <v>32</v>
      </c>
      <c r="I25" s="5">
        <v>0.8</v>
      </c>
      <c r="J25" s="5">
        <f t="shared" ref="J25:J27" si="5">$I$20/I25^$I$21</f>
        <v>14975.670255191133</v>
      </c>
      <c r="K25" s="5">
        <f t="shared" ref="K25:K27" si="6">$J$24/J25</f>
        <v>11.179625842151426</v>
      </c>
      <c r="L25" s="5">
        <f t="shared" ref="L25:L27" si="7">J25*_xlfn.GAMMA(1+(1/$B$8))</f>
        <v>13380.213964433568</v>
      </c>
      <c r="M25" s="5">
        <f>$I$29/K25</f>
        <v>2683.4529548286519</v>
      </c>
    </row>
    <row r="26" spans="1:13" x14ac:dyDescent="0.2">
      <c r="H26" t="s">
        <v>33</v>
      </c>
      <c r="I26">
        <v>1</v>
      </c>
      <c r="J26">
        <f t="shared" si="5"/>
        <v>10153.766506303136</v>
      </c>
      <c r="K26">
        <f t="shared" si="6"/>
        <v>16.488698069287167</v>
      </c>
      <c r="L26">
        <f t="shared" si="7"/>
        <v>9072.0192207851942</v>
      </c>
      <c r="M26">
        <f t="shared" ref="M26:M27" si="8">$I$29/K26</f>
        <v>1819.4280636310389</v>
      </c>
    </row>
    <row r="27" spans="1:13" x14ac:dyDescent="0.2">
      <c r="H27" t="s">
        <v>34</v>
      </c>
      <c r="I27">
        <v>1.5</v>
      </c>
      <c r="J27">
        <f t="shared" si="5"/>
        <v>5011.6629278941764</v>
      </c>
      <c r="K27">
        <f t="shared" si="6"/>
        <v>33.406554390684356</v>
      </c>
      <c r="L27">
        <f t="shared" si="7"/>
        <v>4477.7376337863179</v>
      </c>
      <c r="M27">
        <f t="shared" si="8"/>
        <v>898.0273646050041</v>
      </c>
    </row>
    <row r="28" spans="1:13" ht="16" thickBot="1" x14ac:dyDescent="0.25"/>
    <row r="29" spans="1:13" x14ac:dyDescent="0.2">
      <c r="H29" s="23" t="s">
        <v>35</v>
      </c>
      <c r="I29" s="24">
        <v>30000</v>
      </c>
    </row>
    <row r="30" spans="1:13" x14ac:dyDescent="0.2">
      <c r="H30" s="25" t="s">
        <v>36</v>
      </c>
      <c r="I30" s="26">
        <v>0.2</v>
      </c>
    </row>
    <row r="31" spans="1:13" x14ac:dyDescent="0.2">
      <c r="H31" s="25" t="s">
        <v>37</v>
      </c>
      <c r="I31" s="26">
        <f>I20/I30^I21</f>
        <v>167422.39018847322</v>
      </c>
    </row>
    <row r="32" spans="1:13" ht="16" thickBot="1" x14ac:dyDescent="0.25">
      <c r="H32" s="27" t="s">
        <v>38</v>
      </c>
      <c r="I32" s="28">
        <f>EXP(-((I29/I31)^B8))</f>
        <v>0.99461361376005719</v>
      </c>
    </row>
  </sheetData>
  <autoFilter ref="H23:M23" xr:uid="{00000000-0009-0000-0000-000003000000}"/>
  <mergeCells count="3">
    <mergeCell ref="F1:G1"/>
    <mergeCell ref="H1:I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1"/>
  <sheetViews>
    <sheetView tabSelected="1" zoomScale="63" zoomScaleNormal="85" workbookViewId="0">
      <selection activeCell="A11" sqref="A11:C131"/>
    </sheetView>
  </sheetViews>
  <sheetFormatPr baseColWidth="10" defaultColWidth="8.83203125" defaultRowHeight="15" x14ac:dyDescent="0.2"/>
  <cols>
    <col min="3" max="3" width="9.5" customWidth="1"/>
    <col min="6" max="6" width="12.33203125" customWidth="1"/>
    <col min="8" max="8" width="11.6640625" customWidth="1"/>
    <col min="9" max="9" width="10.83203125" customWidth="1"/>
    <col min="16" max="16" width="11.5" customWidth="1"/>
    <col min="17" max="17" width="13" customWidth="1"/>
    <col min="19" max="19" width="10.83203125" customWidth="1"/>
  </cols>
  <sheetData>
    <row r="1" spans="1:21" x14ac:dyDescent="0.2">
      <c r="A1" s="31" t="s">
        <v>5</v>
      </c>
      <c r="B1" s="34" t="s">
        <v>39</v>
      </c>
      <c r="C1" s="34" t="s">
        <v>40</v>
      </c>
      <c r="D1" s="34" t="s">
        <v>41</v>
      </c>
      <c r="E1" s="34" t="s">
        <v>42</v>
      </c>
      <c r="F1" s="35" t="s">
        <v>43</v>
      </c>
    </row>
    <row r="2" spans="1:21" x14ac:dyDescent="0.2">
      <c r="A2" s="36">
        <v>0.1</v>
      </c>
      <c r="B2" s="1">
        <v>0.1</v>
      </c>
      <c r="C2" s="1">
        <f>(LN(A2/(1-B2))/((LN($J$14/$J$13)-LN($J$10/$J$11))))</f>
        <v>-1.3311019809949778</v>
      </c>
      <c r="D2" s="1">
        <f>(LN((1-A2)/B2)/((LN($J$14/$J$13)-LN($J$10/$J$11))))</f>
        <v>1.331101980994978</v>
      </c>
      <c r="E2" s="1">
        <f>(LN($J$11/$J$10)/((LN($J$14/$J$13)-LN($J$10/$J$11))))</f>
        <v>2.4985422233589946E-2</v>
      </c>
      <c r="F2" s="37">
        <f>-C2/E2</f>
        <v>53.275144544304261</v>
      </c>
    </row>
    <row r="3" spans="1:21" x14ac:dyDescent="0.2">
      <c r="A3" s="36">
        <v>0.15</v>
      </c>
      <c r="B3" s="1">
        <v>0.15</v>
      </c>
      <c r="C3" s="1">
        <f t="shared" ref="C3" si="0">(LN(A3/(1-B3))/((LN($J$14/$J$13)-LN($J$10/$J$11))))</f>
        <v>-1.0508397388592359</v>
      </c>
      <c r="D3" s="1">
        <f t="shared" ref="D3" si="1">(LN((1-A3)/B3)/((LN($J$14/$J$13)-LN($J$10/$J$11))))</f>
        <v>1.0508397388592359</v>
      </c>
      <c r="E3" s="1">
        <f t="shared" ref="E3:E4" si="2">(LN($J$11/$J$10)/((LN($J$14/$J$13)-LN($J$10/$J$11))))</f>
        <v>2.4985422233589946E-2</v>
      </c>
      <c r="F3" s="37">
        <f t="shared" ref="F3" si="3">-C3/E3</f>
        <v>42.058114088882839</v>
      </c>
    </row>
    <row r="4" spans="1:21" ht="16" thickBot="1" x14ac:dyDescent="0.25">
      <c r="A4" s="38">
        <v>0.2</v>
      </c>
      <c r="B4" s="39">
        <v>0.2</v>
      </c>
      <c r="C4" s="39">
        <f>(LN(A4/(1-B4))/((LN($J$14/$J$13)-LN($J$10/$J$11))))</f>
        <v>-0.83983184484764017</v>
      </c>
      <c r="D4" s="39">
        <f t="shared" ref="D4" si="4">(LN((1-A4)/B4)/((LN($J$14/$J$13)-LN($J$10/$J$11))))</f>
        <v>0.83983184484764017</v>
      </c>
      <c r="E4" s="39">
        <f t="shared" si="2"/>
        <v>2.4985422233589946E-2</v>
      </c>
      <c r="F4" s="40">
        <f t="shared" ref="F4" si="5">-C4/E4</f>
        <v>33.612873818821662</v>
      </c>
    </row>
    <row r="7" spans="1:21" x14ac:dyDescent="0.2">
      <c r="F7" s="2"/>
    </row>
    <row r="8" spans="1:21" x14ac:dyDescent="0.2">
      <c r="F8" s="2"/>
    </row>
    <row r="9" spans="1:21" ht="16" thickBot="1" x14ac:dyDescent="0.25"/>
    <row r="10" spans="1:21" x14ac:dyDescent="0.2">
      <c r="I10" s="32" t="s">
        <v>44</v>
      </c>
      <c r="J10" s="24">
        <v>0.95</v>
      </c>
      <c r="L10" t="s">
        <v>45</v>
      </c>
      <c r="P10" s="22" t="s">
        <v>46</v>
      </c>
      <c r="Q10" s="22" t="s">
        <v>47</v>
      </c>
      <c r="R10" s="22" t="s">
        <v>48</v>
      </c>
      <c r="S10" s="22" t="s">
        <v>74</v>
      </c>
    </row>
    <row r="11" spans="1:21" ht="16" thickBot="1" x14ac:dyDescent="0.25">
      <c r="A11" t="s">
        <v>49</v>
      </c>
      <c r="B11" t="s">
        <v>50</v>
      </c>
      <c r="C11" t="s">
        <v>51</v>
      </c>
      <c r="I11" s="33" t="s">
        <v>52</v>
      </c>
      <c r="J11" s="29">
        <v>0.99</v>
      </c>
      <c r="L11" t="s">
        <v>45</v>
      </c>
      <c r="M11" s="3">
        <f>'Inverse Power Law'!M25</f>
        <v>2683.4529548286519</v>
      </c>
      <c r="O11" t="s">
        <v>53</v>
      </c>
      <c r="P11">
        <v>30</v>
      </c>
      <c r="Q11">
        <f>M11/P11</f>
        <v>89.448431827621732</v>
      </c>
      <c r="R11">
        <f>(Q11*F3)/6</f>
        <v>627.00539181296233</v>
      </c>
      <c r="S11">
        <f>R11/60</f>
        <v>10.450089863549373</v>
      </c>
      <c r="U11" t="s">
        <v>56</v>
      </c>
    </row>
    <row r="12" spans="1:21" ht="16" thickBot="1" x14ac:dyDescent="0.25">
      <c r="A12">
        <v>1</v>
      </c>
      <c r="B12">
        <f>$D$4+($E$4*A12)</f>
        <v>0.86481726708123008</v>
      </c>
      <c r="C12">
        <f>$C$4+($E$4*A12)</f>
        <v>-0.81484642261405027</v>
      </c>
    </row>
    <row r="13" spans="1:21" x14ac:dyDescent="0.2">
      <c r="A13">
        <v>2</v>
      </c>
      <c r="B13">
        <f t="shared" ref="B13:B76" si="6">$D$4+($E$4*A13)</f>
        <v>0.88980268931482009</v>
      </c>
      <c r="C13">
        <f t="shared" ref="C13:C76" si="7">$C$4+($E$4*A13)</f>
        <v>-0.78986100038046025</v>
      </c>
      <c r="I13" s="32" t="s">
        <v>54</v>
      </c>
      <c r="J13" s="30">
        <f>1-J11</f>
        <v>1.0000000000000009E-2</v>
      </c>
    </row>
    <row r="14" spans="1:21" ht="16" thickBot="1" x14ac:dyDescent="0.25">
      <c r="A14">
        <v>3</v>
      </c>
      <c r="B14">
        <f t="shared" si="6"/>
        <v>0.91478811154841</v>
      </c>
      <c r="C14">
        <f t="shared" si="7"/>
        <v>-0.76487557814687035</v>
      </c>
      <c r="I14" s="33" t="s">
        <v>55</v>
      </c>
      <c r="J14" s="29">
        <f>1-J10</f>
        <v>5.0000000000000044E-2</v>
      </c>
    </row>
    <row r="15" spans="1:21" x14ac:dyDescent="0.2">
      <c r="A15">
        <v>4</v>
      </c>
      <c r="B15">
        <f t="shared" si="6"/>
        <v>0.9397735337819999</v>
      </c>
      <c r="C15">
        <f t="shared" si="7"/>
        <v>-0.73989015591328045</v>
      </c>
    </row>
    <row r="16" spans="1:21" x14ac:dyDescent="0.2">
      <c r="A16">
        <v>5</v>
      </c>
      <c r="B16">
        <f t="shared" si="6"/>
        <v>0.96475895601558992</v>
      </c>
      <c r="C16">
        <f t="shared" si="7"/>
        <v>-0.71490473367969043</v>
      </c>
    </row>
    <row r="17" spans="1:3" x14ac:dyDescent="0.2">
      <c r="A17">
        <v>6</v>
      </c>
      <c r="B17">
        <f t="shared" si="6"/>
        <v>0.98974437824917982</v>
      </c>
      <c r="C17">
        <f t="shared" si="7"/>
        <v>-0.68991931144610052</v>
      </c>
    </row>
    <row r="18" spans="1:3" x14ac:dyDescent="0.2">
      <c r="A18">
        <v>7</v>
      </c>
      <c r="B18">
        <f t="shared" si="6"/>
        <v>1.0147298004827698</v>
      </c>
      <c r="C18">
        <f t="shared" si="7"/>
        <v>-0.66493388921251051</v>
      </c>
    </row>
    <row r="19" spans="1:3" x14ac:dyDescent="0.2">
      <c r="A19">
        <v>8</v>
      </c>
      <c r="B19">
        <f t="shared" si="6"/>
        <v>1.0397152227163597</v>
      </c>
      <c r="C19">
        <f t="shared" si="7"/>
        <v>-0.6399484669789206</v>
      </c>
    </row>
    <row r="20" spans="1:3" x14ac:dyDescent="0.2">
      <c r="A20">
        <v>9</v>
      </c>
      <c r="B20">
        <f t="shared" si="6"/>
        <v>1.0647006449499496</v>
      </c>
      <c r="C20">
        <f t="shared" si="7"/>
        <v>-0.6149630447453307</v>
      </c>
    </row>
    <row r="21" spans="1:3" x14ac:dyDescent="0.2">
      <c r="A21">
        <v>10</v>
      </c>
      <c r="B21">
        <f t="shared" si="6"/>
        <v>1.0896860671835396</v>
      </c>
      <c r="C21">
        <f t="shared" si="7"/>
        <v>-0.58997762251174068</v>
      </c>
    </row>
    <row r="22" spans="1:3" x14ac:dyDescent="0.2">
      <c r="A22">
        <v>11</v>
      </c>
      <c r="B22">
        <f t="shared" si="6"/>
        <v>1.1146714894171295</v>
      </c>
      <c r="C22">
        <f t="shared" si="7"/>
        <v>-0.56499220027815078</v>
      </c>
    </row>
    <row r="23" spans="1:3" x14ac:dyDescent="0.2">
      <c r="A23">
        <v>12</v>
      </c>
      <c r="B23">
        <f t="shared" si="6"/>
        <v>1.1396569116507196</v>
      </c>
      <c r="C23">
        <f t="shared" si="7"/>
        <v>-0.54000677804456076</v>
      </c>
    </row>
    <row r="24" spans="1:3" x14ac:dyDescent="0.2">
      <c r="A24">
        <v>13</v>
      </c>
      <c r="B24">
        <f t="shared" si="6"/>
        <v>1.1646423338843095</v>
      </c>
      <c r="C24">
        <f t="shared" si="7"/>
        <v>-0.51502135581097086</v>
      </c>
    </row>
    <row r="25" spans="1:3" x14ac:dyDescent="0.2">
      <c r="A25">
        <v>14</v>
      </c>
      <c r="B25">
        <f t="shared" si="6"/>
        <v>1.1896277561178994</v>
      </c>
      <c r="C25">
        <f t="shared" si="7"/>
        <v>-0.49003593357738096</v>
      </c>
    </row>
    <row r="26" spans="1:3" x14ac:dyDescent="0.2">
      <c r="A26">
        <v>15</v>
      </c>
      <c r="B26">
        <f t="shared" si="6"/>
        <v>1.2146131783514893</v>
      </c>
      <c r="C26">
        <f t="shared" si="7"/>
        <v>-0.465050511343791</v>
      </c>
    </row>
    <row r="27" spans="1:3" x14ac:dyDescent="0.2">
      <c r="A27">
        <v>16</v>
      </c>
      <c r="B27">
        <f t="shared" si="6"/>
        <v>1.2395986005850794</v>
      </c>
      <c r="C27">
        <f t="shared" si="7"/>
        <v>-0.44006508911020104</v>
      </c>
    </row>
    <row r="28" spans="1:3" x14ac:dyDescent="0.2">
      <c r="A28">
        <v>17</v>
      </c>
      <c r="B28">
        <f t="shared" si="6"/>
        <v>1.2645840228186693</v>
      </c>
      <c r="C28">
        <f t="shared" si="7"/>
        <v>-0.41507966687661108</v>
      </c>
    </row>
    <row r="29" spans="1:3" x14ac:dyDescent="0.2">
      <c r="A29">
        <v>18</v>
      </c>
      <c r="B29">
        <f t="shared" si="6"/>
        <v>1.2895694450522592</v>
      </c>
      <c r="C29">
        <f t="shared" si="7"/>
        <v>-0.39009424464302112</v>
      </c>
    </row>
    <row r="30" spans="1:3" x14ac:dyDescent="0.2">
      <c r="A30">
        <v>19</v>
      </c>
      <c r="B30">
        <f t="shared" si="6"/>
        <v>1.3145548672858491</v>
      </c>
      <c r="C30">
        <f t="shared" si="7"/>
        <v>-0.36510882240943121</v>
      </c>
    </row>
    <row r="31" spans="1:3" x14ac:dyDescent="0.2">
      <c r="A31">
        <v>20</v>
      </c>
      <c r="B31">
        <f t="shared" si="6"/>
        <v>1.339540289519439</v>
      </c>
      <c r="C31">
        <f t="shared" si="7"/>
        <v>-0.34012340017584125</v>
      </c>
    </row>
    <row r="32" spans="1:3" x14ac:dyDescent="0.2">
      <c r="A32">
        <v>21</v>
      </c>
      <c r="B32">
        <f t="shared" si="6"/>
        <v>1.3645257117530289</v>
      </c>
      <c r="C32">
        <f t="shared" si="7"/>
        <v>-0.31513797794225129</v>
      </c>
    </row>
    <row r="33" spans="1:3" x14ac:dyDescent="0.2">
      <c r="A33">
        <v>22</v>
      </c>
      <c r="B33">
        <f t="shared" si="6"/>
        <v>1.3895111339866189</v>
      </c>
      <c r="C33">
        <f t="shared" si="7"/>
        <v>-0.29015255570866139</v>
      </c>
    </row>
    <row r="34" spans="1:3" x14ac:dyDescent="0.2">
      <c r="A34">
        <v>23</v>
      </c>
      <c r="B34">
        <f t="shared" si="6"/>
        <v>1.414496556220209</v>
      </c>
      <c r="C34">
        <f t="shared" si="7"/>
        <v>-0.26516713347507137</v>
      </c>
    </row>
    <row r="35" spans="1:3" x14ac:dyDescent="0.2">
      <c r="A35">
        <v>24</v>
      </c>
      <c r="B35">
        <f t="shared" si="6"/>
        <v>1.4394819784537989</v>
      </c>
      <c r="C35">
        <f t="shared" si="7"/>
        <v>-0.24018171124148147</v>
      </c>
    </row>
    <row r="36" spans="1:3" x14ac:dyDescent="0.2">
      <c r="A36">
        <v>25</v>
      </c>
      <c r="B36">
        <f t="shared" si="6"/>
        <v>1.4644674006873888</v>
      </c>
      <c r="C36">
        <f t="shared" si="7"/>
        <v>-0.21519628900789156</v>
      </c>
    </row>
    <row r="37" spans="1:3" x14ac:dyDescent="0.2">
      <c r="A37">
        <v>26</v>
      </c>
      <c r="B37">
        <f t="shared" si="6"/>
        <v>1.4894528229209789</v>
      </c>
      <c r="C37">
        <f t="shared" si="7"/>
        <v>-0.19021086677430155</v>
      </c>
    </row>
    <row r="38" spans="1:3" x14ac:dyDescent="0.2">
      <c r="A38">
        <v>27</v>
      </c>
      <c r="B38">
        <f t="shared" si="6"/>
        <v>1.5144382451545688</v>
      </c>
      <c r="C38">
        <f t="shared" si="7"/>
        <v>-0.16522544454071164</v>
      </c>
    </row>
    <row r="39" spans="1:3" x14ac:dyDescent="0.2">
      <c r="A39">
        <v>28</v>
      </c>
      <c r="B39">
        <f t="shared" si="6"/>
        <v>1.5394236673881587</v>
      </c>
      <c r="C39">
        <f t="shared" si="7"/>
        <v>-0.14024002230712174</v>
      </c>
    </row>
    <row r="40" spans="1:3" x14ac:dyDescent="0.2">
      <c r="A40">
        <v>29</v>
      </c>
      <c r="B40">
        <f t="shared" si="6"/>
        <v>1.5644090896217486</v>
      </c>
      <c r="C40">
        <f t="shared" si="7"/>
        <v>-0.11525460007353172</v>
      </c>
    </row>
    <row r="41" spans="1:3" x14ac:dyDescent="0.2">
      <c r="A41">
        <v>30</v>
      </c>
      <c r="B41">
        <f t="shared" si="6"/>
        <v>1.5893945118553385</v>
      </c>
      <c r="C41">
        <f t="shared" si="7"/>
        <v>-9.0269177839941817E-2</v>
      </c>
    </row>
    <row r="42" spans="1:3" x14ac:dyDescent="0.2">
      <c r="A42">
        <v>31</v>
      </c>
      <c r="B42">
        <f t="shared" si="6"/>
        <v>1.6143799340889284</v>
      </c>
      <c r="C42">
        <f t="shared" si="7"/>
        <v>-6.5283755606351801E-2</v>
      </c>
    </row>
    <row r="43" spans="1:3" x14ac:dyDescent="0.2">
      <c r="A43">
        <v>32</v>
      </c>
      <c r="B43">
        <f t="shared" si="6"/>
        <v>1.6393653563225183</v>
      </c>
      <c r="C43">
        <f t="shared" si="7"/>
        <v>-4.0298333372761896E-2</v>
      </c>
    </row>
    <row r="44" spans="1:3" x14ac:dyDescent="0.2">
      <c r="A44">
        <v>33</v>
      </c>
      <c r="B44">
        <f t="shared" si="6"/>
        <v>1.6643507785561082</v>
      </c>
      <c r="C44">
        <f t="shared" si="7"/>
        <v>-1.5312911139171992E-2</v>
      </c>
    </row>
    <row r="45" spans="1:3" x14ac:dyDescent="0.2">
      <c r="A45">
        <v>34</v>
      </c>
      <c r="B45">
        <f t="shared" si="6"/>
        <v>1.6893362007896984</v>
      </c>
      <c r="C45">
        <f t="shared" si="7"/>
        <v>9.6725110944180237E-3</v>
      </c>
    </row>
    <row r="46" spans="1:3" x14ac:dyDescent="0.2">
      <c r="A46">
        <v>35</v>
      </c>
      <c r="B46">
        <f t="shared" si="6"/>
        <v>1.7143216230232883</v>
      </c>
      <c r="C46">
        <f t="shared" si="7"/>
        <v>3.4657933328007928E-2</v>
      </c>
    </row>
    <row r="47" spans="1:3" x14ac:dyDescent="0.2">
      <c r="A47">
        <v>36</v>
      </c>
      <c r="B47">
        <f t="shared" si="6"/>
        <v>1.7393070452568784</v>
      </c>
      <c r="C47">
        <f t="shared" si="7"/>
        <v>5.9643355561597944E-2</v>
      </c>
    </row>
    <row r="48" spans="1:3" x14ac:dyDescent="0.2">
      <c r="A48">
        <v>37</v>
      </c>
      <c r="B48">
        <f t="shared" si="6"/>
        <v>1.7642924674904683</v>
      </c>
      <c r="C48">
        <f t="shared" si="7"/>
        <v>8.4628777795187848E-2</v>
      </c>
    </row>
    <row r="49" spans="1:3" x14ac:dyDescent="0.2">
      <c r="A49">
        <v>38</v>
      </c>
      <c r="B49">
        <f t="shared" si="6"/>
        <v>1.7892778897240582</v>
      </c>
      <c r="C49">
        <f t="shared" si="7"/>
        <v>0.10961420002877775</v>
      </c>
    </row>
    <row r="50" spans="1:3" x14ac:dyDescent="0.2">
      <c r="A50">
        <v>39</v>
      </c>
      <c r="B50">
        <f t="shared" si="6"/>
        <v>1.8142633119576481</v>
      </c>
      <c r="C50">
        <f t="shared" si="7"/>
        <v>0.13459962226236777</v>
      </c>
    </row>
    <row r="51" spans="1:3" x14ac:dyDescent="0.2">
      <c r="A51">
        <v>40</v>
      </c>
      <c r="B51">
        <f t="shared" si="6"/>
        <v>1.839248734191238</v>
      </c>
      <c r="C51">
        <f t="shared" si="7"/>
        <v>0.15958504449595767</v>
      </c>
    </row>
    <row r="52" spans="1:3" x14ac:dyDescent="0.2">
      <c r="A52">
        <v>41</v>
      </c>
      <c r="B52">
        <f t="shared" si="6"/>
        <v>1.8642341564248279</v>
      </c>
      <c r="C52">
        <f t="shared" si="7"/>
        <v>0.18457046672954769</v>
      </c>
    </row>
    <row r="53" spans="1:3" x14ac:dyDescent="0.2">
      <c r="A53">
        <v>42</v>
      </c>
      <c r="B53">
        <f t="shared" si="6"/>
        <v>1.8892195786584178</v>
      </c>
      <c r="C53">
        <f t="shared" si="7"/>
        <v>0.20955588896313759</v>
      </c>
    </row>
    <row r="54" spans="1:3" x14ac:dyDescent="0.2">
      <c r="A54">
        <v>43</v>
      </c>
      <c r="B54">
        <f t="shared" si="6"/>
        <v>1.9142050008920077</v>
      </c>
      <c r="C54">
        <f t="shared" si="7"/>
        <v>0.2345413111967275</v>
      </c>
    </row>
    <row r="55" spans="1:3" x14ac:dyDescent="0.2">
      <c r="A55">
        <v>44</v>
      </c>
      <c r="B55">
        <f t="shared" si="6"/>
        <v>1.9391904231255976</v>
      </c>
      <c r="C55">
        <f t="shared" si="7"/>
        <v>0.2595267334303174</v>
      </c>
    </row>
    <row r="56" spans="1:3" x14ac:dyDescent="0.2">
      <c r="A56">
        <v>45</v>
      </c>
      <c r="B56">
        <f t="shared" si="6"/>
        <v>1.9641758453591875</v>
      </c>
      <c r="C56">
        <f t="shared" si="7"/>
        <v>0.28451215566390731</v>
      </c>
    </row>
    <row r="57" spans="1:3" x14ac:dyDescent="0.2">
      <c r="A57">
        <v>46</v>
      </c>
      <c r="B57">
        <f t="shared" si="6"/>
        <v>1.9891612675927779</v>
      </c>
      <c r="C57">
        <f t="shared" si="7"/>
        <v>0.30949757789749743</v>
      </c>
    </row>
    <row r="58" spans="1:3" x14ac:dyDescent="0.2">
      <c r="A58">
        <v>47</v>
      </c>
      <c r="B58">
        <f t="shared" si="6"/>
        <v>2.0141466898263678</v>
      </c>
      <c r="C58">
        <f t="shared" si="7"/>
        <v>0.33448300013108734</v>
      </c>
    </row>
    <row r="59" spans="1:3" x14ac:dyDescent="0.2">
      <c r="A59">
        <v>48</v>
      </c>
      <c r="B59">
        <f t="shared" si="6"/>
        <v>2.0391321120599577</v>
      </c>
      <c r="C59">
        <f t="shared" si="7"/>
        <v>0.35946842236467724</v>
      </c>
    </row>
    <row r="60" spans="1:3" x14ac:dyDescent="0.2">
      <c r="A60">
        <v>49</v>
      </c>
      <c r="B60">
        <f t="shared" si="6"/>
        <v>2.0641175342935476</v>
      </c>
      <c r="C60">
        <f t="shared" si="7"/>
        <v>0.38445384459826715</v>
      </c>
    </row>
    <row r="61" spans="1:3" x14ac:dyDescent="0.2">
      <c r="A61">
        <v>50</v>
      </c>
      <c r="B61">
        <f t="shared" si="6"/>
        <v>2.0891029565271375</v>
      </c>
      <c r="C61">
        <f t="shared" si="7"/>
        <v>0.40943926683185705</v>
      </c>
    </row>
    <row r="62" spans="1:3" x14ac:dyDescent="0.2">
      <c r="A62">
        <v>51</v>
      </c>
      <c r="B62">
        <f t="shared" si="6"/>
        <v>2.1140883787607274</v>
      </c>
      <c r="C62">
        <f t="shared" si="7"/>
        <v>0.43442468906544718</v>
      </c>
    </row>
    <row r="63" spans="1:3" x14ac:dyDescent="0.2">
      <c r="A63">
        <v>52</v>
      </c>
      <c r="B63">
        <f t="shared" si="6"/>
        <v>2.1390738009943173</v>
      </c>
      <c r="C63">
        <f t="shared" si="7"/>
        <v>0.45941011129903708</v>
      </c>
    </row>
    <row r="64" spans="1:3" x14ac:dyDescent="0.2">
      <c r="A64">
        <v>53</v>
      </c>
      <c r="B64">
        <f t="shared" si="6"/>
        <v>2.1640592232279072</v>
      </c>
      <c r="C64">
        <f t="shared" si="7"/>
        <v>0.48439553353262699</v>
      </c>
    </row>
    <row r="65" spans="1:3" x14ac:dyDescent="0.2">
      <c r="A65">
        <v>54</v>
      </c>
      <c r="B65">
        <f t="shared" si="6"/>
        <v>2.1890446454614971</v>
      </c>
      <c r="C65">
        <f t="shared" si="7"/>
        <v>0.50938095576621689</v>
      </c>
    </row>
    <row r="66" spans="1:3" x14ac:dyDescent="0.2">
      <c r="A66">
        <v>55</v>
      </c>
      <c r="B66">
        <f t="shared" si="6"/>
        <v>2.214030067695087</v>
      </c>
      <c r="C66">
        <f t="shared" si="7"/>
        <v>0.5343663779998068</v>
      </c>
    </row>
    <row r="67" spans="1:3" x14ac:dyDescent="0.2">
      <c r="A67">
        <v>56</v>
      </c>
      <c r="B67">
        <f t="shared" si="6"/>
        <v>2.2390154899286769</v>
      </c>
      <c r="C67">
        <f t="shared" si="7"/>
        <v>0.5593518002333967</v>
      </c>
    </row>
    <row r="68" spans="1:3" x14ac:dyDescent="0.2">
      <c r="A68">
        <v>57</v>
      </c>
      <c r="B68">
        <f t="shared" si="6"/>
        <v>2.2640009121622673</v>
      </c>
      <c r="C68">
        <f t="shared" si="7"/>
        <v>0.58433722246698683</v>
      </c>
    </row>
    <row r="69" spans="1:3" x14ac:dyDescent="0.2">
      <c r="A69">
        <v>58</v>
      </c>
      <c r="B69">
        <f t="shared" si="6"/>
        <v>2.2889863343958572</v>
      </c>
      <c r="C69">
        <f t="shared" si="7"/>
        <v>0.60932264470057673</v>
      </c>
    </row>
    <row r="70" spans="1:3" x14ac:dyDescent="0.2">
      <c r="A70">
        <v>59</v>
      </c>
      <c r="B70">
        <f t="shared" si="6"/>
        <v>2.3139717566294471</v>
      </c>
      <c r="C70">
        <f t="shared" si="7"/>
        <v>0.63430806693416664</v>
      </c>
    </row>
    <row r="71" spans="1:3" x14ac:dyDescent="0.2">
      <c r="A71">
        <v>60</v>
      </c>
      <c r="B71">
        <f t="shared" si="6"/>
        <v>2.338957178863037</v>
      </c>
      <c r="C71">
        <f t="shared" si="7"/>
        <v>0.65929348916775654</v>
      </c>
    </row>
    <row r="72" spans="1:3" x14ac:dyDescent="0.2">
      <c r="A72">
        <v>61</v>
      </c>
      <c r="B72">
        <f t="shared" si="6"/>
        <v>2.3639426010966269</v>
      </c>
      <c r="C72">
        <f t="shared" si="7"/>
        <v>0.68427891140134645</v>
      </c>
    </row>
    <row r="73" spans="1:3" x14ac:dyDescent="0.2">
      <c r="A73">
        <v>62</v>
      </c>
      <c r="B73">
        <f t="shared" si="6"/>
        <v>2.3889280233302168</v>
      </c>
      <c r="C73">
        <f t="shared" si="7"/>
        <v>0.70926433363493657</v>
      </c>
    </row>
    <row r="74" spans="1:3" x14ac:dyDescent="0.2">
      <c r="A74">
        <v>63</v>
      </c>
      <c r="B74">
        <f t="shared" si="6"/>
        <v>2.4139134455638067</v>
      </c>
      <c r="C74">
        <f t="shared" si="7"/>
        <v>0.73424975586852648</v>
      </c>
    </row>
    <row r="75" spans="1:3" x14ac:dyDescent="0.2">
      <c r="A75">
        <v>64</v>
      </c>
      <c r="B75">
        <f t="shared" si="6"/>
        <v>2.4388988677973966</v>
      </c>
      <c r="C75">
        <f t="shared" si="7"/>
        <v>0.75923517810211638</v>
      </c>
    </row>
    <row r="76" spans="1:3" x14ac:dyDescent="0.2">
      <c r="A76">
        <v>65</v>
      </c>
      <c r="B76">
        <f t="shared" si="6"/>
        <v>2.4638842900309865</v>
      </c>
      <c r="C76">
        <f t="shared" si="7"/>
        <v>0.78422060033570629</v>
      </c>
    </row>
    <row r="77" spans="1:3" x14ac:dyDescent="0.2">
      <c r="A77">
        <v>66</v>
      </c>
      <c r="B77">
        <f t="shared" ref="B77:B131" si="8">$D$4+($E$4*A77)</f>
        <v>2.4888697122645764</v>
      </c>
      <c r="C77">
        <f t="shared" ref="C77:C131" si="9">$C$4+($E$4*A77)</f>
        <v>0.80920602256929619</v>
      </c>
    </row>
    <row r="78" spans="1:3" x14ac:dyDescent="0.2">
      <c r="A78">
        <v>67</v>
      </c>
      <c r="B78">
        <f t="shared" si="8"/>
        <v>2.5138551344981668</v>
      </c>
      <c r="C78">
        <f t="shared" si="9"/>
        <v>0.83419144480288632</v>
      </c>
    </row>
    <row r="79" spans="1:3" x14ac:dyDescent="0.2">
      <c r="A79">
        <v>68</v>
      </c>
      <c r="B79">
        <f t="shared" si="8"/>
        <v>2.5388405567317567</v>
      </c>
      <c r="C79">
        <f t="shared" si="9"/>
        <v>0.85917686703647622</v>
      </c>
    </row>
    <row r="80" spans="1:3" x14ac:dyDescent="0.2">
      <c r="A80">
        <v>69</v>
      </c>
      <c r="B80">
        <f t="shared" si="8"/>
        <v>2.5638259789653466</v>
      </c>
      <c r="C80">
        <f t="shared" si="9"/>
        <v>0.88416228927006613</v>
      </c>
    </row>
    <row r="81" spans="1:3" x14ac:dyDescent="0.2">
      <c r="A81">
        <v>70</v>
      </c>
      <c r="B81">
        <f t="shared" si="8"/>
        <v>2.5888114011989365</v>
      </c>
      <c r="C81">
        <f t="shared" si="9"/>
        <v>0.90914771150365603</v>
      </c>
    </row>
    <row r="82" spans="1:3" x14ac:dyDescent="0.2">
      <c r="A82">
        <v>71</v>
      </c>
      <c r="B82">
        <f t="shared" si="8"/>
        <v>2.6137968234325264</v>
      </c>
      <c r="C82">
        <f t="shared" si="9"/>
        <v>0.93413313373724594</v>
      </c>
    </row>
    <row r="83" spans="1:3" x14ac:dyDescent="0.2">
      <c r="A83">
        <v>72</v>
      </c>
      <c r="B83">
        <f t="shared" si="8"/>
        <v>2.6387822456661163</v>
      </c>
      <c r="C83">
        <f t="shared" si="9"/>
        <v>0.95911855597083606</v>
      </c>
    </row>
    <row r="84" spans="1:3" x14ac:dyDescent="0.2">
      <c r="A84">
        <v>73</v>
      </c>
      <c r="B84">
        <f t="shared" si="8"/>
        <v>2.6637676678997062</v>
      </c>
      <c r="C84">
        <f t="shared" si="9"/>
        <v>0.98410397820442597</v>
      </c>
    </row>
    <row r="85" spans="1:3" x14ac:dyDescent="0.2">
      <c r="A85">
        <v>74</v>
      </c>
      <c r="B85">
        <f t="shared" si="8"/>
        <v>2.6887530901332961</v>
      </c>
      <c r="C85">
        <f t="shared" si="9"/>
        <v>1.009089400438016</v>
      </c>
    </row>
    <row r="86" spans="1:3" x14ac:dyDescent="0.2">
      <c r="A86">
        <v>75</v>
      </c>
      <c r="B86">
        <f t="shared" si="8"/>
        <v>2.713738512366886</v>
      </c>
      <c r="C86">
        <f t="shared" si="9"/>
        <v>1.0340748226716059</v>
      </c>
    </row>
    <row r="87" spans="1:3" x14ac:dyDescent="0.2">
      <c r="A87">
        <v>76</v>
      </c>
      <c r="B87">
        <f t="shared" si="8"/>
        <v>2.7387239346004759</v>
      </c>
      <c r="C87">
        <f t="shared" si="9"/>
        <v>1.0590602449051958</v>
      </c>
    </row>
    <row r="88" spans="1:3" x14ac:dyDescent="0.2">
      <c r="A88">
        <v>77</v>
      </c>
      <c r="B88">
        <f t="shared" si="8"/>
        <v>2.7637093568340658</v>
      </c>
      <c r="C88">
        <f t="shared" si="9"/>
        <v>1.0840456671387857</v>
      </c>
    </row>
    <row r="89" spans="1:3" x14ac:dyDescent="0.2">
      <c r="A89">
        <v>78</v>
      </c>
      <c r="B89">
        <f t="shared" si="8"/>
        <v>2.7886947790676562</v>
      </c>
      <c r="C89">
        <f t="shared" si="9"/>
        <v>1.1090310893723756</v>
      </c>
    </row>
    <row r="90" spans="1:3" x14ac:dyDescent="0.2">
      <c r="A90">
        <v>79</v>
      </c>
      <c r="B90">
        <f t="shared" si="8"/>
        <v>2.8136802013012461</v>
      </c>
      <c r="C90">
        <f t="shared" si="9"/>
        <v>1.1340165116059655</v>
      </c>
    </row>
    <row r="91" spans="1:3" x14ac:dyDescent="0.2">
      <c r="A91">
        <v>80</v>
      </c>
      <c r="B91">
        <f t="shared" si="8"/>
        <v>2.838665623534836</v>
      </c>
      <c r="C91">
        <f t="shared" si="9"/>
        <v>1.1590019338395554</v>
      </c>
    </row>
    <row r="92" spans="1:3" x14ac:dyDescent="0.2">
      <c r="A92">
        <v>81</v>
      </c>
      <c r="B92">
        <f t="shared" si="8"/>
        <v>2.8636510457684259</v>
      </c>
      <c r="C92">
        <f t="shared" si="9"/>
        <v>1.1839873560731458</v>
      </c>
    </row>
    <row r="93" spans="1:3" x14ac:dyDescent="0.2">
      <c r="A93">
        <v>82</v>
      </c>
      <c r="B93">
        <f t="shared" si="8"/>
        <v>2.8886364680020158</v>
      </c>
      <c r="C93">
        <f t="shared" si="9"/>
        <v>1.2089727783067357</v>
      </c>
    </row>
    <row r="94" spans="1:3" x14ac:dyDescent="0.2">
      <c r="A94">
        <v>83</v>
      </c>
      <c r="B94">
        <f t="shared" si="8"/>
        <v>2.9136218902356057</v>
      </c>
      <c r="C94">
        <f t="shared" si="9"/>
        <v>1.2339582005403256</v>
      </c>
    </row>
    <row r="95" spans="1:3" x14ac:dyDescent="0.2">
      <c r="A95">
        <v>84</v>
      </c>
      <c r="B95">
        <f t="shared" si="8"/>
        <v>2.9386073124691956</v>
      </c>
      <c r="C95">
        <f t="shared" si="9"/>
        <v>1.2589436227739155</v>
      </c>
    </row>
    <row r="96" spans="1:3" x14ac:dyDescent="0.2">
      <c r="A96">
        <v>85</v>
      </c>
      <c r="B96">
        <f t="shared" si="8"/>
        <v>2.9635927347027855</v>
      </c>
      <c r="C96">
        <f t="shared" si="9"/>
        <v>1.2839290450075054</v>
      </c>
    </row>
    <row r="97" spans="1:3" x14ac:dyDescent="0.2">
      <c r="A97">
        <v>86</v>
      </c>
      <c r="B97">
        <f t="shared" si="8"/>
        <v>2.9885781569363754</v>
      </c>
      <c r="C97">
        <f t="shared" si="9"/>
        <v>1.3089144672410953</v>
      </c>
    </row>
    <row r="98" spans="1:3" x14ac:dyDescent="0.2">
      <c r="A98">
        <v>87</v>
      </c>
      <c r="B98">
        <f t="shared" si="8"/>
        <v>3.0135635791699653</v>
      </c>
      <c r="C98">
        <f t="shared" si="9"/>
        <v>1.3338998894746852</v>
      </c>
    </row>
    <row r="99" spans="1:3" x14ac:dyDescent="0.2">
      <c r="A99">
        <v>88</v>
      </c>
      <c r="B99">
        <f t="shared" si="8"/>
        <v>3.0385490014035552</v>
      </c>
      <c r="C99">
        <f t="shared" si="9"/>
        <v>1.3588853117082751</v>
      </c>
    </row>
    <row r="100" spans="1:3" x14ac:dyDescent="0.2">
      <c r="A100">
        <v>89</v>
      </c>
      <c r="B100">
        <f t="shared" si="8"/>
        <v>3.0635344236371451</v>
      </c>
      <c r="C100">
        <f t="shared" si="9"/>
        <v>1.383870733941865</v>
      </c>
    </row>
    <row r="101" spans="1:3" x14ac:dyDescent="0.2">
      <c r="A101">
        <v>90</v>
      </c>
      <c r="B101">
        <f t="shared" si="8"/>
        <v>3.088519845870735</v>
      </c>
      <c r="C101">
        <f t="shared" si="9"/>
        <v>1.4088561561754549</v>
      </c>
    </row>
    <row r="102" spans="1:3" x14ac:dyDescent="0.2">
      <c r="A102">
        <v>91</v>
      </c>
      <c r="B102">
        <f t="shared" si="8"/>
        <v>3.1135052681043254</v>
      </c>
      <c r="C102">
        <f t="shared" si="9"/>
        <v>1.4338415784090452</v>
      </c>
    </row>
    <row r="103" spans="1:3" x14ac:dyDescent="0.2">
      <c r="A103">
        <v>92</v>
      </c>
      <c r="B103">
        <f t="shared" si="8"/>
        <v>3.1384906903379153</v>
      </c>
      <c r="C103">
        <f t="shared" si="9"/>
        <v>1.4588270006426352</v>
      </c>
    </row>
    <row r="104" spans="1:3" x14ac:dyDescent="0.2">
      <c r="A104">
        <v>93</v>
      </c>
      <c r="B104">
        <f t="shared" si="8"/>
        <v>3.1634761125715052</v>
      </c>
      <c r="C104">
        <f t="shared" si="9"/>
        <v>1.4838124228762251</v>
      </c>
    </row>
    <row r="105" spans="1:3" x14ac:dyDescent="0.2">
      <c r="A105">
        <v>94</v>
      </c>
      <c r="B105">
        <f t="shared" si="8"/>
        <v>3.1884615348050951</v>
      </c>
      <c r="C105">
        <f t="shared" si="9"/>
        <v>1.508797845109815</v>
      </c>
    </row>
    <row r="106" spans="1:3" x14ac:dyDescent="0.2">
      <c r="A106">
        <v>95</v>
      </c>
      <c r="B106">
        <f t="shared" si="8"/>
        <v>3.213446957038685</v>
      </c>
      <c r="C106">
        <f t="shared" si="9"/>
        <v>1.5337832673434049</v>
      </c>
    </row>
    <row r="107" spans="1:3" x14ac:dyDescent="0.2">
      <c r="A107">
        <v>96</v>
      </c>
      <c r="B107">
        <f t="shared" si="8"/>
        <v>3.2384323792722749</v>
      </c>
      <c r="C107">
        <f t="shared" si="9"/>
        <v>1.5587686895769948</v>
      </c>
    </row>
    <row r="108" spans="1:3" x14ac:dyDescent="0.2">
      <c r="A108">
        <v>97</v>
      </c>
      <c r="B108">
        <f t="shared" si="8"/>
        <v>3.2634178015058648</v>
      </c>
      <c r="C108">
        <f t="shared" si="9"/>
        <v>1.5837541118105847</v>
      </c>
    </row>
    <row r="109" spans="1:3" x14ac:dyDescent="0.2">
      <c r="A109">
        <v>98</v>
      </c>
      <c r="B109">
        <f t="shared" si="8"/>
        <v>3.2884032237394547</v>
      </c>
      <c r="C109">
        <f t="shared" si="9"/>
        <v>1.6087395340441746</v>
      </c>
    </row>
    <row r="110" spans="1:3" x14ac:dyDescent="0.2">
      <c r="A110">
        <v>99</v>
      </c>
      <c r="B110">
        <f t="shared" si="8"/>
        <v>3.3133886459730446</v>
      </c>
      <c r="C110">
        <f t="shared" si="9"/>
        <v>1.6337249562777645</v>
      </c>
    </row>
    <row r="111" spans="1:3" x14ac:dyDescent="0.2">
      <c r="A111">
        <v>100</v>
      </c>
      <c r="B111">
        <f t="shared" si="8"/>
        <v>3.3383740682066345</v>
      </c>
      <c r="C111">
        <f t="shared" si="9"/>
        <v>1.6587103785113544</v>
      </c>
    </row>
    <row r="112" spans="1:3" x14ac:dyDescent="0.2">
      <c r="A112">
        <v>101</v>
      </c>
      <c r="B112">
        <f t="shared" si="8"/>
        <v>3.3633594904402244</v>
      </c>
      <c r="C112">
        <f t="shared" si="9"/>
        <v>1.6836958007449443</v>
      </c>
    </row>
    <row r="113" spans="1:3" x14ac:dyDescent="0.2">
      <c r="A113">
        <v>102</v>
      </c>
      <c r="B113">
        <f t="shared" si="8"/>
        <v>3.3883449126738148</v>
      </c>
      <c r="C113">
        <f t="shared" si="9"/>
        <v>1.7086812229785346</v>
      </c>
    </row>
    <row r="114" spans="1:3" x14ac:dyDescent="0.2">
      <c r="A114">
        <v>103</v>
      </c>
      <c r="B114">
        <f t="shared" si="8"/>
        <v>3.4133303349074047</v>
      </c>
      <c r="C114">
        <f t="shared" si="9"/>
        <v>1.7336666452121245</v>
      </c>
    </row>
    <row r="115" spans="1:3" x14ac:dyDescent="0.2">
      <c r="A115">
        <v>104</v>
      </c>
      <c r="B115">
        <f t="shared" si="8"/>
        <v>3.4383157571409946</v>
      </c>
      <c r="C115">
        <f t="shared" si="9"/>
        <v>1.7586520674457145</v>
      </c>
    </row>
    <row r="116" spans="1:3" x14ac:dyDescent="0.2">
      <c r="A116">
        <v>105</v>
      </c>
      <c r="B116">
        <f t="shared" si="8"/>
        <v>3.4633011793745845</v>
      </c>
      <c r="C116">
        <f t="shared" si="9"/>
        <v>1.7836374896793044</v>
      </c>
    </row>
    <row r="117" spans="1:3" x14ac:dyDescent="0.2">
      <c r="A117">
        <v>106</v>
      </c>
      <c r="B117">
        <f t="shared" si="8"/>
        <v>3.4882866016081744</v>
      </c>
      <c r="C117">
        <f t="shared" si="9"/>
        <v>1.8086229119128943</v>
      </c>
    </row>
    <row r="118" spans="1:3" x14ac:dyDescent="0.2">
      <c r="A118">
        <v>107</v>
      </c>
      <c r="B118">
        <f t="shared" si="8"/>
        <v>3.5132720238417643</v>
      </c>
      <c r="C118">
        <f t="shared" si="9"/>
        <v>1.8336083341464842</v>
      </c>
    </row>
    <row r="119" spans="1:3" x14ac:dyDescent="0.2">
      <c r="A119">
        <v>108</v>
      </c>
      <c r="B119">
        <f t="shared" si="8"/>
        <v>3.5382574460753542</v>
      </c>
      <c r="C119">
        <f t="shared" si="9"/>
        <v>1.8585937563800741</v>
      </c>
    </row>
    <row r="120" spans="1:3" x14ac:dyDescent="0.2">
      <c r="A120">
        <v>109</v>
      </c>
      <c r="B120">
        <f t="shared" si="8"/>
        <v>3.5632428683089441</v>
      </c>
      <c r="C120">
        <f t="shared" si="9"/>
        <v>1.883579178613664</v>
      </c>
    </row>
    <row r="121" spans="1:3" x14ac:dyDescent="0.2">
      <c r="A121">
        <v>110</v>
      </c>
      <c r="B121">
        <f t="shared" si="8"/>
        <v>3.588228290542534</v>
      </c>
      <c r="C121">
        <f t="shared" si="9"/>
        <v>1.9085646008472539</v>
      </c>
    </row>
    <row r="122" spans="1:3" x14ac:dyDescent="0.2">
      <c r="A122">
        <v>111</v>
      </c>
      <c r="B122">
        <f t="shared" si="8"/>
        <v>3.6132137127761239</v>
      </c>
      <c r="C122">
        <f t="shared" si="9"/>
        <v>1.9335500230808438</v>
      </c>
    </row>
    <row r="123" spans="1:3" x14ac:dyDescent="0.2">
      <c r="A123">
        <v>112</v>
      </c>
      <c r="B123">
        <f t="shared" si="8"/>
        <v>3.6381991350097138</v>
      </c>
      <c r="C123">
        <f t="shared" si="9"/>
        <v>1.9585354453144337</v>
      </c>
    </row>
    <row r="124" spans="1:3" x14ac:dyDescent="0.2">
      <c r="A124">
        <v>113</v>
      </c>
      <c r="B124">
        <f t="shared" si="8"/>
        <v>3.6631845572433042</v>
      </c>
      <c r="C124">
        <f t="shared" si="9"/>
        <v>1.983520867548024</v>
      </c>
    </row>
    <row r="125" spans="1:3" x14ac:dyDescent="0.2">
      <c r="A125">
        <v>114</v>
      </c>
      <c r="B125">
        <f t="shared" si="8"/>
        <v>3.6881699794768941</v>
      </c>
      <c r="C125">
        <f t="shared" si="9"/>
        <v>2.0085062897816139</v>
      </c>
    </row>
    <row r="126" spans="1:3" x14ac:dyDescent="0.2">
      <c r="A126">
        <v>115</v>
      </c>
      <c r="B126">
        <f t="shared" si="8"/>
        <v>3.713155401710484</v>
      </c>
      <c r="C126">
        <f t="shared" si="9"/>
        <v>2.0334917120152038</v>
      </c>
    </row>
    <row r="127" spans="1:3" x14ac:dyDescent="0.2">
      <c r="A127">
        <v>116</v>
      </c>
      <c r="B127">
        <f t="shared" si="8"/>
        <v>3.7381408239440739</v>
      </c>
      <c r="C127">
        <f t="shared" si="9"/>
        <v>2.0584771342487937</v>
      </c>
    </row>
    <row r="128" spans="1:3" x14ac:dyDescent="0.2">
      <c r="A128">
        <v>117</v>
      </c>
      <c r="B128">
        <f t="shared" si="8"/>
        <v>3.7631262461776638</v>
      </c>
      <c r="C128">
        <f t="shared" si="9"/>
        <v>2.0834625564823837</v>
      </c>
    </row>
    <row r="129" spans="1:3" x14ac:dyDescent="0.2">
      <c r="A129">
        <v>118</v>
      </c>
      <c r="B129">
        <f t="shared" si="8"/>
        <v>3.7881116684112537</v>
      </c>
      <c r="C129">
        <f t="shared" si="9"/>
        <v>2.1084479787159736</v>
      </c>
    </row>
    <row r="130" spans="1:3" x14ac:dyDescent="0.2">
      <c r="A130">
        <v>119</v>
      </c>
      <c r="B130">
        <f t="shared" si="8"/>
        <v>3.8130970906448436</v>
      </c>
      <c r="C130">
        <f t="shared" si="9"/>
        <v>2.1334334009495635</v>
      </c>
    </row>
    <row r="131" spans="1:3" x14ac:dyDescent="0.2">
      <c r="A131">
        <v>120</v>
      </c>
      <c r="B131">
        <f t="shared" si="8"/>
        <v>3.8380825128784335</v>
      </c>
      <c r="C131">
        <f t="shared" si="9"/>
        <v>2.1584188231831534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2"/>
  <sheetViews>
    <sheetView workbookViewId="0">
      <selection activeCell="E10" sqref="E10"/>
    </sheetView>
  </sheetViews>
  <sheetFormatPr baseColWidth="10" defaultColWidth="8.83203125" defaultRowHeight="15" x14ac:dyDescent="0.2"/>
  <cols>
    <col min="1" max="1" width="9.83203125" style="4" customWidth="1"/>
    <col min="2" max="4" width="8.83203125" style="4"/>
    <col min="5" max="5" width="11.1640625" bestFit="1" customWidth="1"/>
    <col min="6" max="6" width="10.5" bestFit="1" customWidth="1"/>
    <col min="9" max="9" width="12" bestFit="1" customWidth="1"/>
  </cols>
  <sheetData>
    <row r="1" spans="1:19" ht="16" thickBot="1" x14ac:dyDescent="0.25"/>
    <row r="2" spans="1:19" ht="16" thickBot="1" x14ac:dyDescent="0.25">
      <c r="B2" s="17" t="s">
        <v>72</v>
      </c>
      <c r="C2" s="16">
        <v>100000</v>
      </c>
      <c r="D2" s="21" t="s">
        <v>29</v>
      </c>
      <c r="E2" s="20">
        <f>EXP(Sheet1!C5*((1/C6)-(1/C7)))</f>
        <v>1.0006143833878505</v>
      </c>
    </row>
    <row r="3" spans="1:19" ht="16" thickBot="1" x14ac:dyDescent="0.25">
      <c r="B3" s="17" t="s">
        <v>5</v>
      </c>
      <c r="C3" s="16" t="s">
        <v>76</v>
      </c>
      <c r="D3" s="19" t="s">
        <v>71</v>
      </c>
      <c r="E3" s="18">
        <f>C2/E2</f>
        <v>99938.599384732981</v>
      </c>
    </row>
    <row r="4" spans="1:19" ht="16" thickBot="1" x14ac:dyDescent="0.25">
      <c r="B4" s="17" t="s">
        <v>70</v>
      </c>
      <c r="C4">
        <v>9.2256</v>
      </c>
      <c r="D4" s="17" t="s">
        <v>69</v>
      </c>
      <c r="E4" s="16">
        <v>0.9</v>
      </c>
    </row>
    <row r="5" spans="1:19" ht="16" thickBot="1" x14ac:dyDescent="0.25">
      <c r="B5" s="17" t="s">
        <v>68</v>
      </c>
      <c r="C5">
        <v>1.7414000000000001</v>
      </c>
      <c r="D5" s="17" t="s">
        <v>67</v>
      </c>
      <c r="E5" s="16">
        <v>0.93</v>
      </c>
      <c r="P5" s="4"/>
    </row>
    <row r="6" spans="1:19" ht="16" thickBot="1" x14ac:dyDescent="0.25">
      <c r="B6" s="17" t="s">
        <v>66</v>
      </c>
      <c r="C6" s="16">
        <f>273+25</f>
        <v>298</v>
      </c>
      <c r="P6" s="4"/>
    </row>
    <row r="7" spans="1:19" ht="16" thickBot="1" x14ac:dyDescent="0.25">
      <c r="B7" s="17" t="s">
        <v>65</v>
      </c>
      <c r="C7" s="16">
        <f>273+60</f>
        <v>333</v>
      </c>
      <c r="E7" s="4"/>
      <c r="G7" s="15"/>
      <c r="P7" s="4"/>
    </row>
    <row r="8" spans="1:19" ht="16" thickBot="1" x14ac:dyDescent="0.25">
      <c r="B8" s="14" t="s">
        <v>64</v>
      </c>
      <c r="C8" s="13">
        <f>EXP(-(C2/(C4*EXP(C5/C6))))</f>
        <v>0</v>
      </c>
      <c r="E8" s="4"/>
      <c r="O8" s="4"/>
      <c r="P8" s="4"/>
      <c r="Q8" s="4"/>
      <c r="R8" s="4"/>
    </row>
    <row r="9" spans="1:19" ht="16" thickBot="1" x14ac:dyDescent="0.25">
      <c r="E9" s="4"/>
      <c r="P9" s="4"/>
      <c r="Q9" s="4"/>
      <c r="R9" s="4"/>
      <c r="S9" s="4"/>
    </row>
    <row r="10" spans="1:19" ht="16" thickBot="1" x14ac:dyDescent="0.25">
      <c r="D10" s="12" t="s">
        <v>63</v>
      </c>
      <c r="E10" s="11">
        <f>MIN(F13:F42)</f>
        <v>6.0097867520982895E-2</v>
      </c>
      <c r="P10" s="4"/>
      <c r="Q10" s="4"/>
      <c r="R10" s="4"/>
      <c r="S10" s="4"/>
    </row>
    <row r="11" spans="1:19" ht="16" thickBot="1" x14ac:dyDescent="0.25">
      <c r="E11" s="4"/>
      <c r="H11" s="7"/>
      <c r="I11" s="4"/>
      <c r="P11" s="4"/>
      <c r="Q11" s="4"/>
      <c r="R11" s="4"/>
      <c r="S11" s="4"/>
    </row>
    <row r="12" spans="1:19" ht="17" thickBot="1" x14ac:dyDescent="0.25">
      <c r="A12" s="10" t="s">
        <v>62</v>
      </c>
      <c r="B12" s="9" t="s">
        <v>61</v>
      </c>
      <c r="C12" s="9" t="s">
        <v>60</v>
      </c>
      <c r="D12" s="9" t="s">
        <v>59</v>
      </c>
      <c r="E12" s="9" t="s">
        <v>58</v>
      </c>
      <c r="F12" s="8" t="s">
        <v>57</v>
      </c>
      <c r="H12" s="7"/>
      <c r="I12" s="4"/>
    </row>
    <row r="13" spans="1:19" x14ac:dyDescent="0.2">
      <c r="A13" s="4">
        <v>25</v>
      </c>
      <c r="B13" s="4">
        <v>0</v>
      </c>
      <c r="C13" s="4">
        <f t="shared" ref="C13:C42" si="0">(1-BINOMDIST(B13,A13,(1-$E$5),TRUE))</f>
        <v>0.83704273995500267</v>
      </c>
      <c r="D13" s="4">
        <f t="shared" ref="D13:D42" si="1">_xlfn.BINOM.DIST(B13,A13,(1-$E$4),TRUE)</f>
        <v>7.1789798769185287E-2</v>
      </c>
      <c r="E13">
        <f t="shared" ref="E13:E42" si="2">(C13-D13)</f>
        <v>0.76525294118581733</v>
      </c>
      <c r="F13">
        <f t="shared" ref="F13:F42" si="3">ABS(E13)</f>
        <v>0.76525294118581733</v>
      </c>
      <c r="H13" s="7"/>
      <c r="I13" s="4"/>
    </row>
    <row r="14" spans="1:19" x14ac:dyDescent="0.2">
      <c r="A14" s="4">
        <v>26</v>
      </c>
      <c r="B14" s="4">
        <v>0</v>
      </c>
      <c r="C14" s="4">
        <f t="shared" si="0"/>
        <v>0.84844974815815244</v>
      </c>
      <c r="D14" s="4">
        <f t="shared" si="1"/>
        <v>6.4610818892266761E-2</v>
      </c>
      <c r="E14">
        <f t="shared" si="2"/>
        <v>0.78383892926588572</v>
      </c>
      <c r="F14">
        <f t="shared" si="3"/>
        <v>0.78383892926588572</v>
      </c>
      <c r="H14" s="7"/>
      <c r="I14" s="4"/>
    </row>
    <row r="15" spans="1:19" x14ac:dyDescent="0.2">
      <c r="A15" s="4">
        <v>27</v>
      </c>
      <c r="B15" s="4">
        <v>0</v>
      </c>
      <c r="C15" s="4">
        <f t="shared" si="0"/>
        <v>0.85905826578708178</v>
      </c>
      <c r="D15" s="4">
        <f t="shared" si="1"/>
        <v>5.8149737003040082E-2</v>
      </c>
      <c r="E15">
        <f t="shared" si="2"/>
        <v>0.80090852878404173</v>
      </c>
      <c r="F15">
        <f t="shared" si="3"/>
        <v>0.80090852878404173</v>
      </c>
    </row>
    <row r="16" spans="1:19" x14ac:dyDescent="0.2">
      <c r="A16" s="4">
        <v>28</v>
      </c>
      <c r="B16" s="4">
        <v>0</v>
      </c>
      <c r="C16" s="4">
        <f t="shared" si="0"/>
        <v>0.86892418718198594</v>
      </c>
      <c r="D16" s="4">
        <f t="shared" si="1"/>
        <v>5.2334763302736093E-2</v>
      </c>
      <c r="E16">
        <f t="shared" si="2"/>
        <v>0.81658942387924982</v>
      </c>
      <c r="F16">
        <f t="shared" si="3"/>
        <v>0.81658942387924982</v>
      </c>
    </row>
    <row r="17" spans="1:6" x14ac:dyDescent="0.2">
      <c r="A17" s="4">
        <v>29</v>
      </c>
      <c r="B17" s="4">
        <v>0</v>
      </c>
      <c r="C17" s="4">
        <f t="shared" si="0"/>
        <v>0.87809949407924703</v>
      </c>
      <c r="D17" s="4">
        <f t="shared" si="1"/>
        <v>4.7101286972462485E-2</v>
      </c>
      <c r="E17">
        <f t="shared" si="2"/>
        <v>0.83099820710678451</v>
      </c>
      <c r="F17">
        <f t="shared" si="3"/>
        <v>0.83099820710678451</v>
      </c>
    </row>
    <row r="18" spans="1:6" x14ac:dyDescent="0.2">
      <c r="A18" s="4">
        <v>30</v>
      </c>
      <c r="B18" s="4">
        <v>0</v>
      </c>
      <c r="C18" s="4">
        <f t="shared" si="0"/>
        <v>0.88663252949369975</v>
      </c>
      <c r="D18" s="4">
        <f t="shared" si="1"/>
        <v>4.2391158275216237E-2</v>
      </c>
      <c r="E18">
        <f t="shared" si="2"/>
        <v>0.84424137121848353</v>
      </c>
      <c r="F18">
        <f t="shared" si="3"/>
        <v>0.84424137121848353</v>
      </c>
    </row>
    <row r="19" spans="1:6" x14ac:dyDescent="0.2">
      <c r="A19" s="4">
        <v>25</v>
      </c>
      <c r="B19" s="4">
        <v>1</v>
      </c>
      <c r="C19" s="4">
        <f t="shared" si="0"/>
        <v>0.53040273449398645</v>
      </c>
      <c r="D19" s="4">
        <f t="shared" si="1"/>
        <v>0.27120590646136666</v>
      </c>
      <c r="E19">
        <f t="shared" si="2"/>
        <v>0.25919682803261979</v>
      </c>
      <c r="F19">
        <f t="shared" si="3"/>
        <v>0.25919682803261979</v>
      </c>
    </row>
    <row r="20" spans="1:6" x14ac:dyDescent="0.2">
      <c r="A20" s="4">
        <v>26</v>
      </c>
      <c r="B20" s="4">
        <v>1</v>
      </c>
      <c r="C20" s="4">
        <f t="shared" si="0"/>
        <v>0.5518675348762575</v>
      </c>
      <c r="D20" s="4">
        <f t="shared" si="1"/>
        <v>0.25126429569214848</v>
      </c>
      <c r="E20">
        <f t="shared" si="2"/>
        <v>0.30060323918410903</v>
      </c>
      <c r="F20">
        <f t="shared" si="3"/>
        <v>0.30060323918410903</v>
      </c>
    </row>
    <row r="21" spans="1:6" x14ac:dyDescent="0.2">
      <c r="A21" s="4">
        <v>27</v>
      </c>
      <c r="B21" s="4">
        <v>1</v>
      </c>
      <c r="C21" s="4">
        <f t="shared" si="0"/>
        <v>0.57262828980599012</v>
      </c>
      <c r="D21" s="4">
        <f t="shared" si="1"/>
        <v>0.23259894801216036</v>
      </c>
      <c r="E21">
        <f t="shared" si="2"/>
        <v>0.34002934179382976</v>
      </c>
      <c r="F21">
        <f t="shared" si="3"/>
        <v>0.34002934179382976</v>
      </c>
    </row>
    <row r="22" spans="1:6" x14ac:dyDescent="0.2">
      <c r="A22" s="4">
        <v>28</v>
      </c>
      <c r="B22" s="4">
        <v>1</v>
      </c>
      <c r="C22" s="4">
        <f t="shared" si="0"/>
        <v>0.59267838812466644</v>
      </c>
      <c r="D22" s="4">
        <f t="shared" si="1"/>
        <v>0.21515402691124827</v>
      </c>
      <c r="E22">
        <f t="shared" si="2"/>
        <v>0.37752436121341815</v>
      </c>
      <c r="F22">
        <f t="shared" si="3"/>
        <v>0.37752436121341815</v>
      </c>
    </row>
    <row r="23" spans="1:6" x14ac:dyDescent="0.2">
      <c r="A23" s="4">
        <v>29</v>
      </c>
      <c r="B23" s="4">
        <v>1</v>
      </c>
      <c r="C23" s="4">
        <f t="shared" si="0"/>
        <v>0.61201559405867878</v>
      </c>
      <c r="D23" s="4">
        <f t="shared" si="1"/>
        <v>0.19887210055039706</v>
      </c>
      <c r="E23">
        <f t="shared" si="2"/>
        <v>0.41314349350828172</v>
      </c>
      <c r="F23">
        <f t="shared" si="3"/>
        <v>0.41314349350828172</v>
      </c>
    </row>
    <row r="24" spans="1:6" x14ac:dyDescent="0.2">
      <c r="A24" s="4">
        <v>30</v>
      </c>
      <c r="B24" s="4">
        <v>1</v>
      </c>
      <c r="C24" s="4">
        <f t="shared" si="0"/>
        <v>0.63064146706011848</v>
      </c>
      <c r="D24" s="4">
        <f t="shared" si="1"/>
        <v>0.1836950191926037</v>
      </c>
      <c r="E24">
        <f t="shared" si="2"/>
        <v>0.44694644786751481</v>
      </c>
      <c r="F24">
        <f t="shared" si="3"/>
        <v>0.44694644786751481</v>
      </c>
    </row>
    <row r="25" spans="1:6" x14ac:dyDescent="0.2">
      <c r="A25" s="4">
        <v>25</v>
      </c>
      <c r="B25" s="4">
        <v>2</v>
      </c>
      <c r="C25" s="4">
        <f t="shared" si="0"/>
        <v>0.25343756827113317</v>
      </c>
      <c r="D25" s="4">
        <f t="shared" si="1"/>
        <v>0.53709405005094157</v>
      </c>
      <c r="E25">
        <f t="shared" si="2"/>
        <v>-0.2836564817798084</v>
      </c>
      <c r="F25">
        <f t="shared" si="3"/>
        <v>0.2836564817798084</v>
      </c>
    </row>
    <row r="26" spans="1:6" x14ac:dyDescent="0.2">
      <c r="A26" s="4">
        <v>26</v>
      </c>
      <c r="B26" s="4">
        <v>2</v>
      </c>
      <c r="C26" s="4">
        <f t="shared" si="0"/>
        <v>0.2728251299067328</v>
      </c>
      <c r="D26" s="4">
        <f t="shared" si="1"/>
        <v>0.51050523569198414</v>
      </c>
      <c r="E26">
        <f t="shared" si="2"/>
        <v>-0.23768010578525134</v>
      </c>
      <c r="F26">
        <f t="shared" si="3"/>
        <v>0.23768010578525134</v>
      </c>
    </row>
    <row r="27" spans="1:6" x14ac:dyDescent="0.2">
      <c r="A27" s="4">
        <v>27</v>
      </c>
      <c r="B27" s="4">
        <v>2</v>
      </c>
      <c r="C27" s="4">
        <f t="shared" si="0"/>
        <v>0.29235809825459969</v>
      </c>
      <c r="D27" s="4">
        <f t="shared" si="1"/>
        <v>0.48458114169200051</v>
      </c>
      <c r="E27">
        <f t="shared" si="2"/>
        <v>-0.19222304343740082</v>
      </c>
      <c r="F27">
        <f t="shared" si="3"/>
        <v>0.19222304343740082</v>
      </c>
    </row>
    <row r="28" spans="1:6" x14ac:dyDescent="0.2">
      <c r="A28" s="4">
        <v>28</v>
      </c>
      <c r="B28" s="4">
        <v>2</v>
      </c>
      <c r="C28" s="4">
        <f t="shared" si="0"/>
        <v>0.31197701166319702</v>
      </c>
      <c r="D28" s="4">
        <f t="shared" si="1"/>
        <v>0.45938292232401645</v>
      </c>
      <c r="E28">
        <f t="shared" si="2"/>
        <v>-0.14740591066081943</v>
      </c>
      <c r="F28">
        <f t="shared" si="3"/>
        <v>0.14740591066081943</v>
      </c>
    </row>
    <row r="29" spans="1:6" x14ac:dyDescent="0.2">
      <c r="A29" s="4">
        <v>29</v>
      </c>
      <c r="B29" s="4">
        <v>2</v>
      </c>
      <c r="C29" s="4">
        <f t="shared" si="0"/>
        <v>0.33162610801549985</v>
      </c>
      <c r="D29" s="4">
        <f t="shared" si="1"/>
        <v>0.43496003278273965</v>
      </c>
      <c r="E29">
        <f t="shared" si="2"/>
        <v>-0.10333392476723979</v>
      </c>
      <c r="F29">
        <f t="shared" si="3"/>
        <v>0.10333392476723979</v>
      </c>
    </row>
    <row r="30" spans="1:6" x14ac:dyDescent="0.2">
      <c r="A30" s="6">
        <v>30</v>
      </c>
      <c r="B30" s="6">
        <v>2</v>
      </c>
      <c r="C30" s="6">
        <f t="shared" si="0"/>
        <v>0.35125337203852247</v>
      </c>
      <c r="D30" s="6">
        <f t="shared" si="1"/>
        <v>0.41135123955950537</v>
      </c>
      <c r="E30" s="5">
        <f t="shared" si="2"/>
        <v>-6.0097867520982895E-2</v>
      </c>
      <c r="F30" s="5">
        <f t="shared" si="3"/>
        <v>6.0097867520982895E-2</v>
      </c>
    </row>
    <row r="31" spans="1:6" x14ac:dyDescent="0.2">
      <c r="A31" s="4">
        <v>25</v>
      </c>
      <c r="B31" s="4">
        <v>3</v>
      </c>
      <c r="C31" s="4">
        <f t="shared" si="0"/>
        <v>9.3611791346834394E-2</v>
      </c>
      <c r="D31" s="4">
        <f t="shared" si="1"/>
        <v>0.76359135755317231</v>
      </c>
      <c r="E31">
        <f t="shared" si="2"/>
        <v>-0.66997956620633792</v>
      </c>
      <c r="F31">
        <f t="shared" si="3"/>
        <v>0.66997956620633792</v>
      </c>
    </row>
    <row r="32" spans="1:6" x14ac:dyDescent="0.2">
      <c r="A32" s="4">
        <v>26</v>
      </c>
      <c r="B32" s="4">
        <v>3</v>
      </c>
      <c r="C32" s="4">
        <f t="shared" si="0"/>
        <v>0.1047995957315353</v>
      </c>
      <c r="D32" s="4">
        <f t="shared" si="1"/>
        <v>0.74094162680294917</v>
      </c>
      <c r="E32">
        <f t="shared" si="2"/>
        <v>-0.63614203107141387</v>
      </c>
      <c r="F32">
        <f t="shared" si="3"/>
        <v>0.63614203107141387</v>
      </c>
    </row>
    <row r="33" spans="1:6" x14ac:dyDescent="0.2">
      <c r="A33" s="4">
        <v>27</v>
      </c>
      <c r="B33" s="4">
        <v>3</v>
      </c>
      <c r="C33" s="4">
        <f t="shared" si="0"/>
        <v>0.11656138312379904</v>
      </c>
      <c r="D33" s="4">
        <f t="shared" si="1"/>
        <v>0.71789798769185287</v>
      </c>
      <c r="E33">
        <f t="shared" si="2"/>
        <v>-0.60133660456805382</v>
      </c>
      <c r="F33">
        <f t="shared" si="3"/>
        <v>0.60133660456805382</v>
      </c>
    </row>
    <row r="34" spans="1:6" x14ac:dyDescent="0.2">
      <c r="A34" s="4">
        <v>28</v>
      </c>
      <c r="B34" s="4">
        <v>3</v>
      </c>
      <c r="C34" s="4">
        <f t="shared" si="0"/>
        <v>0.12886715318295505</v>
      </c>
      <c r="D34" s="4">
        <f t="shared" si="1"/>
        <v>0.69456630309186762</v>
      </c>
      <c r="E34">
        <f t="shared" si="2"/>
        <v>-0.56569914990891257</v>
      </c>
      <c r="F34">
        <f t="shared" si="3"/>
        <v>0.56569914990891257</v>
      </c>
    </row>
    <row r="35" spans="1:6" x14ac:dyDescent="0.2">
      <c r="A35" s="4">
        <v>29</v>
      </c>
      <c r="B35" s="4">
        <v>3</v>
      </c>
      <c r="C35" s="4">
        <f t="shared" si="0"/>
        <v>0.14168484327657194</v>
      </c>
      <c r="D35" s="4">
        <f t="shared" si="1"/>
        <v>0.67104796501508246</v>
      </c>
      <c r="E35">
        <f t="shared" si="2"/>
        <v>-0.52936312173851052</v>
      </c>
      <c r="F35">
        <f t="shared" si="3"/>
        <v>0.52936312173851052</v>
      </c>
    </row>
    <row r="36" spans="1:6" x14ac:dyDescent="0.2">
      <c r="A36" s="4">
        <v>30</v>
      </c>
      <c r="B36" s="4">
        <v>3</v>
      </c>
      <c r="C36" s="4">
        <f t="shared" si="0"/>
        <v>0.15498073180829697</v>
      </c>
      <c r="D36" s="4">
        <f t="shared" si="1"/>
        <v>0.64743917179184829</v>
      </c>
      <c r="E36">
        <f t="shared" si="2"/>
        <v>-0.49245843998355132</v>
      </c>
      <c r="F36">
        <f t="shared" si="3"/>
        <v>0.49245843998355132</v>
      </c>
    </row>
    <row r="37" spans="1:6" x14ac:dyDescent="0.2">
      <c r="A37" s="4">
        <v>25</v>
      </c>
      <c r="B37" s="4">
        <v>4</v>
      </c>
      <c r="C37" s="4">
        <f t="shared" si="0"/>
        <v>2.7447356813657064E-2</v>
      </c>
      <c r="D37" s="4">
        <f t="shared" si="1"/>
        <v>0.90200637880453538</v>
      </c>
      <c r="E37">
        <f t="shared" si="2"/>
        <v>-0.87455902199087832</v>
      </c>
      <c r="F37">
        <f t="shared" si="3"/>
        <v>0.87455902199087832</v>
      </c>
    </row>
    <row r="38" spans="1:6" x14ac:dyDescent="0.2">
      <c r="A38" s="4">
        <v>26</v>
      </c>
      <c r="B38" s="4">
        <v>4</v>
      </c>
      <c r="C38" s="4">
        <f t="shared" si="0"/>
        <v>3.2078867230979524E-2</v>
      </c>
      <c r="D38" s="4">
        <f t="shared" si="1"/>
        <v>0.88816487667939914</v>
      </c>
      <c r="E38">
        <f t="shared" si="2"/>
        <v>-0.85608600944841962</v>
      </c>
      <c r="F38">
        <f t="shared" si="3"/>
        <v>0.85608600944841962</v>
      </c>
    </row>
    <row r="39" spans="1:6" x14ac:dyDescent="0.2">
      <c r="A39" s="4">
        <v>27</v>
      </c>
      <c r="B39" s="4">
        <v>4</v>
      </c>
      <c r="C39" s="4">
        <f t="shared" si="0"/>
        <v>3.7169318226018433E-2</v>
      </c>
      <c r="D39" s="4">
        <f t="shared" si="1"/>
        <v>0.87344255169175411</v>
      </c>
      <c r="E39">
        <f t="shared" si="2"/>
        <v>-0.83627323346573568</v>
      </c>
      <c r="F39">
        <f t="shared" si="3"/>
        <v>0.83627323346573568</v>
      </c>
    </row>
    <row r="40" spans="1:6" x14ac:dyDescent="0.2">
      <c r="A40" s="4">
        <v>28</v>
      </c>
      <c r="B40" s="4">
        <v>4</v>
      </c>
      <c r="C40" s="4">
        <f t="shared" si="0"/>
        <v>4.2726762768863003E-2</v>
      </c>
      <c r="D40" s="4">
        <f t="shared" si="1"/>
        <v>0.85788809529176402</v>
      </c>
      <c r="E40">
        <f t="shared" si="2"/>
        <v>-0.81516133252290102</v>
      </c>
      <c r="F40">
        <f t="shared" si="3"/>
        <v>0.81516133252290102</v>
      </c>
    </row>
    <row r="41" spans="1:6" x14ac:dyDescent="0.2">
      <c r="A41" s="4">
        <v>29</v>
      </c>
      <c r="B41" s="4">
        <v>4</v>
      </c>
      <c r="C41" s="4">
        <f t="shared" si="0"/>
        <v>4.8756590097849495E-2</v>
      </c>
      <c r="D41" s="4">
        <f t="shared" si="1"/>
        <v>0.84155591607177438</v>
      </c>
      <c r="E41">
        <f t="shared" si="2"/>
        <v>-0.79279932597392488</v>
      </c>
      <c r="F41">
        <f t="shared" si="3"/>
        <v>0.79279932597392488</v>
      </c>
    </row>
    <row r="42" spans="1:6" x14ac:dyDescent="0.2">
      <c r="A42" s="4">
        <v>30</v>
      </c>
      <c r="B42" s="4">
        <v>4</v>
      </c>
      <c r="C42" s="4">
        <f t="shared" si="0"/>
        <v>5.5261567820360069E-2</v>
      </c>
      <c r="D42" s="4">
        <f t="shared" si="1"/>
        <v>0.82450512096610518</v>
      </c>
      <c r="E42">
        <f t="shared" si="2"/>
        <v>-0.76924355314574511</v>
      </c>
      <c r="F42">
        <f t="shared" si="3"/>
        <v>0.76924355314574511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0.8A</vt:lpstr>
      <vt:lpstr>1.0A</vt:lpstr>
      <vt:lpstr>1.5A</vt:lpstr>
      <vt:lpstr>Inverse Power Law</vt:lpstr>
      <vt:lpstr>seq test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Kadimi</dc:creator>
  <cp:lastModifiedBy>Aravind Manikandan</cp:lastModifiedBy>
  <dcterms:created xsi:type="dcterms:W3CDTF">2026-01-28T06:32:48Z</dcterms:created>
  <dcterms:modified xsi:type="dcterms:W3CDTF">2026-04-02T04:27:16Z</dcterms:modified>
</cp:coreProperties>
</file>